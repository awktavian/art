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BOM" sheetId="1" state="visible" r:id="rId1"/>
    <sheet xmlns:r="http://schemas.openxmlformats.org/officeDocument/2006/relationships" name="Cost Scenarios" sheetId="2" state="visible" r:id="rId2"/>
    <sheet xmlns:r="http://schemas.openxmlformats.org/officeDocument/2006/relationships" name="Manufacturing Partners" sheetId="3" state="visible" r:id="rId3"/>
    <sheet xmlns:r="http://schemas.openxmlformats.org/officeDocument/2006/relationships" name="FMEA Critical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</font>
    <font>
      <b val="1"/>
      <sz val="12"/>
    </font>
    <font>
      <i val="1"/>
    </font>
    <font>
      <b val="1"/>
      <color rgb="001F4E79"/>
      <sz val="18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7FE57F"/>
        <bgColor rgb="007FE5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164" fontId="3" fillId="3" borderId="0" pivotButton="0" quotePrefix="0" xfId="0"/>
    <xf numFmtId="165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6" fontId="0" fillId="0" borderId="1" pivotButton="0" quotePrefix="0" xfId="0"/>
    <xf numFmtId="164" fontId="0" fillId="0" borderId="0" pivotButton="0" quotePrefix="0" xfId="0"/>
    <xf numFmtId="9" fontId="0" fillId="0" borderId="0" pivotButton="0" quotePrefix="0" xfId="0"/>
    <xf numFmtId="0" fontId="6" fillId="0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45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0" customWidth="1" min="14" max="14"/>
    <col width="10" customWidth="1" min="15" max="15"/>
  </cols>
  <sheetData>
    <row r="1">
      <c r="A1" s="1" t="inlineStr">
        <is>
          <t>KAGAMI ORB V3 - BILL OF MATERIALS</t>
        </is>
      </c>
    </row>
    <row r="2">
      <c r="A2" t="inlineStr">
        <is>
          <t>Generated: 2026-01-11 14:44</t>
        </is>
      </c>
    </row>
    <row r="3">
      <c r="A3" t="inlineStr">
        <is>
          <t>Version: 3.0 | 85mm Compact SOTA with Living Eye Display</t>
        </is>
      </c>
    </row>
    <row r="5">
      <c r="A5" s="2" t="inlineStr">
        <is>
          <t>Part ID</t>
        </is>
      </c>
      <c r="B5" s="2" t="inlineStr">
        <is>
          <t>Designation</t>
        </is>
      </c>
      <c r="C5" s="2" t="inlineStr">
        <is>
          <t>Category</t>
        </is>
      </c>
      <c r="D5" s="2" t="inlineStr">
        <is>
          <t>Qty</t>
        </is>
      </c>
      <c r="E5" s="2" t="inlineStr">
        <is>
          <t>Description</t>
        </is>
      </c>
      <c r="F5" s="2" t="inlineStr">
        <is>
          <t>Supplier</t>
        </is>
      </c>
      <c r="G5" s="2" t="inlineStr">
        <is>
          <t>Part Number</t>
        </is>
      </c>
      <c r="H5" s="2" t="inlineStr">
        <is>
          <t>Cost (Qty 1)</t>
        </is>
      </c>
      <c r="I5" s="2" t="inlineStr">
        <is>
          <t>Cost (Qty 100)</t>
        </is>
      </c>
      <c r="J5" s="2" t="inlineStr">
        <is>
          <t>Cost (Qty 500)</t>
        </is>
      </c>
      <c r="K5" s="2" t="inlineStr">
        <is>
          <t>Cost (Qty 1000)</t>
        </is>
      </c>
      <c r="L5" s="2" t="inlineStr">
        <is>
          <t>Extended (Qty 1)</t>
        </is>
      </c>
      <c r="M5" s="2" t="inlineStr">
        <is>
          <t>Lead Time</t>
        </is>
      </c>
      <c r="N5" s="2" t="inlineStr">
        <is>
          <t>Criticality</t>
        </is>
      </c>
      <c r="O5" s="2" t="inlineStr">
        <is>
          <t>FMEA RPN</t>
        </is>
      </c>
    </row>
    <row r="6">
      <c r="A6" s="3">
        <f>== COMPUTE ===</f>
        <v/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inlineStr">
        <is>
          <t>QCS6490-SOM-001</t>
        </is>
      </c>
      <c r="B7" s="5" t="inlineStr">
        <is>
          <t>U1</t>
        </is>
      </c>
      <c r="C7" s="5" t="inlineStr">
        <is>
          <t>Compute</t>
        </is>
      </c>
      <c r="D7" s="5" t="n">
        <v>1</v>
      </c>
      <c r="E7" s="5" t="inlineStr">
        <is>
          <t>Qualcomm QCS6490 SoM - 12 TOPS NPU, WiFi 6E, 6nm</t>
        </is>
      </c>
      <c r="F7" s="5" t="inlineStr">
        <is>
          <t>Thundercomm</t>
        </is>
      </c>
      <c r="G7" s="5" t="inlineStr">
        <is>
          <t>TurboX C6490</t>
        </is>
      </c>
      <c r="H7" s="6" t="n">
        <v>140</v>
      </c>
      <c r="I7" s="6" t="n">
        <v>110</v>
      </c>
      <c r="J7" s="6" t="n">
        <v>95</v>
      </c>
      <c r="K7" s="6" t="n">
        <v>85</v>
      </c>
      <c r="L7" s="6" t="n">
        <v>140</v>
      </c>
      <c r="M7" s="5" t="inlineStr">
        <is>
          <t>2-4 weeks</t>
        </is>
      </c>
      <c r="N7" s="7" t="inlineStr">
        <is>
          <t>HIGH</t>
        </is>
      </c>
      <c r="O7" s="5" t="n">
        <v>54</v>
      </c>
    </row>
    <row r="8">
      <c r="A8" s="5" t="inlineStr">
        <is>
          <t>HAILO10H-001</t>
        </is>
      </c>
      <c r="B8" s="5" t="inlineStr">
        <is>
          <t>U2</t>
        </is>
      </c>
      <c r="C8" s="5" t="inlineStr">
        <is>
          <t>Compute</t>
        </is>
      </c>
      <c r="D8" s="5" t="n">
        <v>1</v>
      </c>
      <c r="E8" s="5" t="inlineStr">
        <is>
          <t>Hailo-10H AI Accelerator - 40 TOPS INT4, GenAI</t>
        </is>
      </c>
      <c r="F8" s="5" t="inlineStr">
        <is>
          <t>Hailo</t>
        </is>
      </c>
      <c r="G8" s="5" t="inlineStr">
        <is>
          <t>Hailo-10H</t>
        </is>
      </c>
      <c r="H8" s="6" t="n">
        <v>90</v>
      </c>
      <c r="I8" s="6" t="n">
        <v>75</v>
      </c>
      <c r="J8" s="6" t="n">
        <v>65</v>
      </c>
      <c r="K8" s="6" t="n">
        <v>55</v>
      </c>
      <c r="L8" s="6" t="n">
        <v>90</v>
      </c>
      <c r="M8" s="5" t="inlineStr">
        <is>
          <t>2-3 weeks</t>
        </is>
      </c>
      <c r="N8" s="7" t="inlineStr">
        <is>
          <t>HIGH</t>
        </is>
      </c>
      <c r="O8" s="5" t="n">
        <v>48</v>
      </c>
    </row>
    <row r="9">
      <c r="A9" s="5" t="inlineStr">
        <is>
          <t>ESP32S3-001</t>
        </is>
      </c>
      <c r="B9" s="5" t="inlineStr">
        <is>
          <t>U3</t>
        </is>
      </c>
      <c r="C9" s="5" t="inlineStr">
        <is>
          <t>Compute</t>
        </is>
      </c>
      <c r="D9" s="5" t="n">
        <v>1</v>
      </c>
      <c r="E9" s="5" t="inlineStr">
        <is>
          <t>ESP32-S3-WROOM-1-N4 Co-processor</t>
        </is>
      </c>
      <c r="F9" s="5" t="inlineStr">
        <is>
          <t>Digi-Key</t>
        </is>
      </c>
      <c r="G9" s="5" t="inlineStr">
        <is>
          <t>ESP32-S3-WROOM-1-N4</t>
        </is>
      </c>
      <c r="H9" s="6" t="n">
        <v>3.34</v>
      </c>
      <c r="I9" s="6" t="n">
        <v>2.8</v>
      </c>
      <c r="J9" s="6" t="n">
        <v>2.5</v>
      </c>
      <c r="K9" s="6" t="n">
        <v>2.2</v>
      </c>
      <c r="L9" s="6" t="n">
        <v>3.34</v>
      </c>
      <c r="M9" s="5" t="inlineStr">
        <is>
          <t>In stock</t>
        </is>
      </c>
      <c r="N9" s="8" t="inlineStr">
        <is>
          <t>MEDIUM</t>
        </is>
      </c>
      <c r="O9" s="5" t="n">
        <v>24</v>
      </c>
    </row>
    <row r="10">
      <c r="A10" s="3">
        <f>== DISPLAY ===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inlineStr">
        <is>
          <t>AMOLED-001</t>
        </is>
      </c>
      <c r="B11" s="5" t="inlineStr">
        <is>
          <t>DISP1</t>
        </is>
      </c>
      <c r="C11" s="5" t="inlineStr">
        <is>
          <t>Display</t>
        </is>
      </c>
      <c r="D11" s="5" t="n">
        <v>1</v>
      </c>
      <c r="E11" s="5" t="inlineStr">
        <is>
          <t>3.4" Round AMOLED 800x800 - Living Eye Interface</t>
        </is>
      </c>
      <c r="F11" s="5" t="inlineStr">
        <is>
          <t>AliExpress/Alibaba</t>
        </is>
      </c>
      <c r="G11" s="5" t="inlineStr">
        <is>
          <t>RM69330 Round</t>
        </is>
      </c>
      <c r="H11" s="6" t="n">
        <v>85</v>
      </c>
      <c r="I11" s="6" t="n">
        <v>65</v>
      </c>
      <c r="J11" s="6" t="n">
        <v>55</v>
      </c>
      <c r="K11" s="6" t="n">
        <v>48</v>
      </c>
      <c r="L11" s="6" t="n">
        <v>85</v>
      </c>
      <c r="M11" s="5" t="inlineStr">
        <is>
          <t>2-4 weeks</t>
        </is>
      </c>
      <c r="N11" s="7" t="inlineStr">
        <is>
          <t>HIGH</t>
        </is>
      </c>
      <c r="O11" s="7" t="n">
        <v>160</v>
      </c>
    </row>
    <row r="12">
      <c r="A12" s="5" t="inlineStr">
        <is>
          <t>MIRROR-DIELECTRIC-001</t>
        </is>
      </c>
      <c r="B12" s="5" t="inlineStr">
        <is>
          <t>OPT1</t>
        </is>
      </c>
      <c r="C12" s="5" t="inlineStr">
        <is>
          <t>Display</t>
        </is>
      </c>
      <c r="D12" s="5" t="n">
        <v>1</v>
      </c>
      <c r="E12" s="5" t="inlineStr">
        <is>
          <t>Dielectric Mirror Film 90mm - Touch Through</t>
        </is>
      </c>
      <c r="F12" s="5" t="inlineStr">
        <is>
          <t>Edmund Optics</t>
        </is>
      </c>
      <c r="G12" s="5" t="inlineStr">
        <is>
          <t>Dielectric Mirror</t>
        </is>
      </c>
      <c r="H12" s="6" t="n">
        <v>45</v>
      </c>
      <c r="I12" s="6" t="n">
        <v>35</v>
      </c>
      <c r="J12" s="6" t="n">
        <v>28</v>
      </c>
      <c r="K12" s="6" t="n">
        <v>22</v>
      </c>
      <c r="L12" s="6" t="n">
        <v>45</v>
      </c>
      <c r="M12" s="5" t="inlineStr">
        <is>
          <t>1-2 weeks</t>
        </is>
      </c>
      <c r="N12" s="8" t="inlineStr">
        <is>
          <t>MEDIUM</t>
        </is>
      </c>
      <c r="O12" s="7" t="n">
        <v>140</v>
      </c>
    </row>
    <row r="13">
      <c r="A13" s="5" t="inlineStr">
        <is>
          <t>AF-COATING-001</t>
        </is>
      </c>
      <c r="B13" s="5" t="inlineStr">
        <is>
          <t>OPT2</t>
        </is>
      </c>
      <c r="C13" s="5" t="inlineStr">
        <is>
          <t>Display</t>
        </is>
      </c>
      <c r="D13" s="5" t="n">
        <v>1</v>
      </c>
      <c r="E13" s="5" t="inlineStr">
        <is>
          <t>Daikin Optool DSX-E Anti-fingerprint</t>
        </is>
      </c>
      <c r="F13" s="5" t="inlineStr">
        <is>
          <t>Daikin</t>
        </is>
      </c>
      <c r="G13" s="5" t="inlineStr">
        <is>
          <t>Optool DSX-E</t>
        </is>
      </c>
      <c r="H13" s="6" t="n">
        <v>45</v>
      </c>
      <c r="I13" s="6" t="n">
        <v>35</v>
      </c>
      <c r="J13" s="6" t="n">
        <v>28</v>
      </c>
      <c r="K13" s="6" t="n">
        <v>22</v>
      </c>
      <c r="L13" s="6" t="n">
        <v>45</v>
      </c>
      <c r="M13" s="5" t="inlineStr">
        <is>
          <t>2 weeks</t>
        </is>
      </c>
      <c r="N13" s="9" t="inlineStr">
        <is>
          <t>LOW</t>
        </is>
      </c>
      <c r="O13" s="5" t="n">
        <v>36</v>
      </c>
    </row>
    <row r="14">
      <c r="A14" s="5" t="inlineStr">
        <is>
          <t>RADAR-001</t>
        </is>
      </c>
      <c r="B14" s="5" t="inlineStr">
        <is>
          <t>U4</t>
        </is>
      </c>
      <c r="C14" s="5" t="inlineStr">
        <is>
          <t>Display</t>
        </is>
      </c>
      <c r="D14" s="5" t="n">
        <v>1</v>
      </c>
      <c r="E14" s="5" t="inlineStr">
        <is>
          <t>Infineon BGT60TR13C 60GHz Gesture Radar</t>
        </is>
      </c>
      <c r="F14" s="5" t="inlineStr">
        <is>
          <t>Infineon/Digi-Key</t>
        </is>
      </c>
      <c r="G14" s="5" t="inlineStr">
        <is>
          <t>BGT60TR13C</t>
        </is>
      </c>
      <c r="H14" s="6" t="n">
        <v>25</v>
      </c>
      <c r="I14" s="6" t="n">
        <v>18</v>
      </c>
      <c r="J14" s="6" t="n">
        <v>15</v>
      </c>
      <c r="K14" s="6" t="n">
        <v>12</v>
      </c>
      <c r="L14" s="6" t="n">
        <v>25</v>
      </c>
      <c r="M14" s="5" t="inlineStr">
        <is>
          <t>In stock</t>
        </is>
      </c>
      <c r="N14" s="8" t="inlineStr">
        <is>
          <t>MEDIUM</t>
        </is>
      </c>
      <c r="O14" s="5" t="n">
        <v>48</v>
      </c>
    </row>
    <row r="15">
      <c r="A15" s="3">
        <f>== CAMERA ===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inlineStr">
        <is>
          <t>CAM-IMX989-001</t>
        </is>
      </c>
      <c r="B16" s="5" t="inlineStr">
        <is>
          <t>CAM1</t>
        </is>
      </c>
      <c r="C16" s="5" t="inlineStr">
        <is>
          <t>Camera</t>
        </is>
      </c>
      <c r="D16" s="5" t="n">
        <v>1</v>
      </c>
      <c r="E16" s="5" t="inlineStr">
        <is>
          <t>Sony IMX989 1" 50.3MP - Flagship Hidden Camera</t>
        </is>
      </c>
      <c r="F16" s="5" t="inlineStr">
        <is>
          <t>SINCEREFIRST</t>
        </is>
      </c>
      <c r="G16" s="5" t="inlineStr">
        <is>
          <t>IMX989 Module</t>
        </is>
      </c>
      <c r="H16" s="6" t="n">
        <v>95</v>
      </c>
      <c r="I16" s="6" t="n">
        <v>75</v>
      </c>
      <c r="J16" s="6" t="n">
        <v>65</v>
      </c>
      <c r="K16" s="6" t="n">
        <v>55</v>
      </c>
      <c r="L16" s="6" t="n">
        <v>95</v>
      </c>
      <c r="M16" s="5" t="inlineStr">
        <is>
          <t>2-4 weeks</t>
        </is>
      </c>
      <c r="N16" s="7" t="inlineStr">
        <is>
          <t>HIGH</t>
        </is>
      </c>
      <c r="O16" s="7" t="n">
        <v>175</v>
      </c>
    </row>
    <row r="17">
      <c r="A17" s="3">
        <f>== AUDIO ===</f>
        <v/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inlineStr">
        <is>
          <t>MIC-SENSIBEL-001</t>
        </is>
      </c>
      <c r="B18" s="5" t="inlineStr">
        <is>
          <t>MIC1-4</t>
        </is>
      </c>
      <c r="C18" s="5" t="inlineStr">
        <is>
          <t>Audio</t>
        </is>
      </c>
      <c r="D18" s="5" t="n">
        <v>4</v>
      </c>
      <c r="E18" s="5" t="inlineStr">
        <is>
          <t>sensiBel SBM100B Optical MEMS Mic (-26dB SNR)</t>
        </is>
      </c>
      <c r="F18" s="5" t="inlineStr">
        <is>
          <t>sensiBel</t>
        </is>
      </c>
      <c r="G18" s="5" t="inlineStr">
        <is>
          <t>SBM100B</t>
        </is>
      </c>
      <c r="H18" s="6" t="n">
        <v>30</v>
      </c>
      <c r="I18" s="6" t="n">
        <v>20</v>
      </c>
      <c r="J18" s="6" t="n">
        <v>16</v>
      </c>
      <c r="K18" s="6" t="n">
        <v>14</v>
      </c>
      <c r="L18" s="6" t="n">
        <v>120</v>
      </c>
      <c r="M18" s="5" t="inlineStr">
        <is>
          <t>4-6 weeks</t>
        </is>
      </c>
      <c r="N18" s="7" t="inlineStr">
        <is>
          <t>HIGH</t>
        </is>
      </c>
      <c r="O18" s="7" t="n">
        <v>224</v>
      </c>
    </row>
    <row r="19">
      <c r="A19" s="5" t="inlineStr">
        <is>
          <t>XMOS-XVF3800-001</t>
        </is>
      </c>
      <c r="B19" s="5" t="inlineStr">
        <is>
          <t>U5</t>
        </is>
      </c>
      <c r="C19" s="5" t="inlineStr">
        <is>
          <t>Audio</t>
        </is>
      </c>
      <c r="D19" s="5" t="n">
        <v>1</v>
      </c>
      <c r="E19" s="5" t="inlineStr">
        <is>
          <t>XMOS XVF3800 Voice Processor - AEC/Beamforming</t>
        </is>
      </c>
      <c r="F19" s="5" t="inlineStr">
        <is>
          <t>XMOS/OpenELAB</t>
        </is>
      </c>
      <c r="G19" s="5" t="inlineStr">
        <is>
          <t>XVF3800</t>
        </is>
      </c>
      <c r="H19" s="6" t="n">
        <v>99</v>
      </c>
      <c r="I19" s="6" t="n">
        <v>75</v>
      </c>
      <c r="J19" s="6" t="n">
        <v>65</v>
      </c>
      <c r="K19" s="6" t="n">
        <v>55</v>
      </c>
      <c r="L19" s="6" t="n">
        <v>99</v>
      </c>
      <c r="M19" s="5" t="inlineStr">
        <is>
          <t>In stock</t>
        </is>
      </c>
      <c r="N19" s="7" t="inlineStr">
        <is>
          <t>HIGH</t>
        </is>
      </c>
      <c r="O19" s="5" t="n">
        <v>48</v>
      </c>
    </row>
    <row r="20">
      <c r="A20" s="5" t="inlineStr">
        <is>
          <t>SPK-BMR-001</t>
        </is>
      </c>
      <c r="B20" s="5" t="inlineStr">
        <is>
          <t>SPK1</t>
        </is>
      </c>
      <c r="C20" s="5" t="inlineStr">
        <is>
          <t>Audio</t>
        </is>
      </c>
      <c r="D20" s="5" t="n">
        <v>1</v>
      </c>
      <c r="E20" s="5" t="inlineStr">
        <is>
          <t>Tectonic TEBM28C20N-4 BMR Speaker</t>
        </is>
      </c>
      <c r="F20" s="5" t="inlineStr">
        <is>
          <t>Tectonic</t>
        </is>
      </c>
      <c r="G20" s="5" t="inlineStr">
        <is>
          <t>TEBM28C20N-4</t>
        </is>
      </c>
      <c r="H20" s="6" t="n">
        <v>25</v>
      </c>
      <c r="I20" s="6" t="n">
        <v>18</v>
      </c>
      <c r="J20" s="6" t="n">
        <v>15</v>
      </c>
      <c r="K20" s="6" t="n">
        <v>12</v>
      </c>
      <c r="L20" s="6" t="n">
        <v>25</v>
      </c>
      <c r="M20" s="5" t="inlineStr">
        <is>
          <t>2 weeks</t>
        </is>
      </c>
      <c r="N20" s="8" t="inlineStr">
        <is>
          <t>MEDIUM</t>
        </is>
      </c>
      <c r="O20" s="5" t="n">
        <v>32</v>
      </c>
    </row>
    <row r="21">
      <c r="A21" s="5" t="inlineStr">
        <is>
          <t>AMP-MAX98357A-001</t>
        </is>
      </c>
      <c r="B21" s="5" t="inlineStr">
        <is>
          <t>U6</t>
        </is>
      </c>
      <c r="C21" s="5" t="inlineStr">
        <is>
          <t>Audio</t>
        </is>
      </c>
      <c r="D21" s="5" t="n">
        <v>1</v>
      </c>
      <c r="E21" s="5" t="inlineStr">
        <is>
          <t>MAX98357A 3W I2S Class D Amplifier</t>
        </is>
      </c>
      <c r="F21" s="5" t="inlineStr">
        <is>
          <t>Digi-Key</t>
        </is>
      </c>
      <c r="G21" s="5" t="inlineStr">
        <is>
          <t>MAX98357A</t>
        </is>
      </c>
      <c r="H21" s="6" t="n">
        <v>2.96</v>
      </c>
      <c r="I21" s="6" t="n">
        <v>2.1</v>
      </c>
      <c r="J21" s="6" t="n">
        <v>1.8</v>
      </c>
      <c r="K21" s="6" t="n">
        <v>1.5</v>
      </c>
      <c r="L21" s="6" t="n">
        <v>2.96</v>
      </c>
      <c r="M21" s="5" t="inlineStr">
        <is>
          <t>In stock</t>
        </is>
      </c>
      <c r="N21" s="8" t="inlineStr">
        <is>
          <t>MEDIUM</t>
        </is>
      </c>
      <c r="O21" s="5" t="n">
        <v>18</v>
      </c>
    </row>
    <row r="22">
      <c r="A22" s="3">
        <f>== LEDS ===</f>
        <v/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inlineStr">
        <is>
          <t>LED-HD108-001</t>
        </is>
      </c>
      <c r="B23" s="5" t="inlineStr">
        <is>
          <t>LED1-16</t>
        </is>
      </c>
      <c r="C23" s="5" t="inlineStr">
        <is>
          <t>LEDs</t>
        </is>
      </c>
      <c r="D23" s="5" t="n">
        <v>16</v>
      </c>
      <c r="E23" s="5" t="inlineStr">
        <is>
          <t>HD108 16-bit RGBW LED (65,536 levels/ch)</t>
        </is>
      </c>
      <c r="F23" s="5" t="inlineStr">
        <is>
          <t>AliExpress</t>
        </is>
      </c>
      <c r="G23" s="5" t="inlineStr">
        <is>
          <t>HD108-5050</t>
        </is>
      </c>
      <c r="H23" s="6" t="n">
        <v>0.5</v>
      </c>
      <c r="I23" s="6" t="n">
        <v>0.3</v>
      </c>
      <c r="J23" s="6" t="n">
        <v>0.25</v>
      </c>
      <c r="K23" s="6" t="n">
        <v>0.2</v>
      </c>
      <c r="L23" s="6" t="n">
        <v>8</v>
      </c>
      <c r="M23" s="5" t="inlineStr">
        <is>
          <t>2 weeks</t>
        </is>
      </c>
      <c r="N23" s="8" t="inlineStr">
        <is>
          <t>MEDIUM</t>
        </is>
      </c>
      <c r="O23" s="5" t="n">
        <v>24</v>
      </c>
    </row>
    <row r="24">
      <c r="A24" s="3">
        <f>== SENSORS ===</f>
        <v/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5" t="inlineStr">
        <is>
          <t>IMU-ICM45686-001</t>
        </is>
      </c>
      <c r="B25" s="5" t="inlineStr">
        <is>
          <t>U7</t>
        </is>
      </c>
      <c r="C25" s="5" t="inlineStr">
        <is>
          <t>Sensors</t>
        </is>
      </c>
      <c r="D25" s="5" t="n">
        <v>1</v>
      </c>
      <c r="E25" s="5" t="inlineStr">
        <is>
          <t>TDK ICM-45686 6-axis IMU with AI</t>
        </is>
      </c>
      <c r="F25" s="5" t="inlineStr">
        <is>
          <t>TDK InvenSense</t>
        </is>
      </c>
      <c r="G25" s="5" t="inlineStr">
        <is>
          <t>ICM-45686</t>
        </is>
      </c>
      <c r="H25" s="6" t="n">
        <v>8</v>
      </c>
      <c r="I25" s="6" t="n">
        <v>6</v>
      </c>
      <c r="J25" s="6" t="n">
        <v>5</v>
      </c>
      <c r="K25" s="6" t="n">
        <v>4.5</v>
      </c>
      <c r="L25" s="6" t="n">
        <v>8</v>
      </c>
      <c r="M25" s="5" t="inlineStr">
        <is>
          <t>In stock</t>
        </is>
      </c>
      <c r="N25" s="8" t="inlineStr">
        <is>
          <t>MEDIUM</t>
        </is>
      </c>
      <c r="O25" s="5" t="n">
        <v>24</v>
      </c>
    </row>
    <row r="26">
      <c r="A26" s="5" t="inlineStr">
        <is>
          <t>TEMP-SHT45-001</t>
        </is>
      </c>
      <c r="B26" s="5" t="inlineStr">
        <is>
          <t>U8</t>
        </is>
      </c>
      <c r="C26" s="5" t="inlineStr">
        <is>
          <t>Sensors</t>
        </is>
      </c>
      <c r="D26" s="5" t="n">
        <v>1</v>
      </c>
      <c r="E26" s="5" t="inlineStr">
        <is>
          <t>Sensirion SHT45 Temp/Humidity (±0.1°C)</t>
        </is>
      </c>
      <c r="F26" s="5" t="inlineStr">
        <is>
          <t>Sensirion</t>
        </is>
      </c>
      <c r="G26" s="5" t="inlineStr">
        <is>
          <t>SHT45</t>
        </is>
      </c>
      <c r="H26" s="6" t="n">
        <v>5</v>
      </c>
      <c r="I26" s="6" t="n">
        <v>3.5</v>
      </c>
      <c r="J26" s="6" t="n">
        <v>3</v>
      </c>
      <c r="K26" s="6" t="n">
        <v>2.5</v>
      </c>
      <c r="L26" s="6" t="n">
        <v>5</v>
      </c>
      <c r="M26" s="5" t="inlineStr">
        <is>
          <t>In stock</t>
        </is>
      </c>
      <c r="N26" s="9" t="inlineStr">
        <is>
          <t>LOW</t>
        </is>
      </c>
      <c r="O26" s="5" t="n">
        <v>12</v>
      </c>
    </row>
    <row r="27">
      <c r="A27" s="5" t="inlineStr">
        <is>
          <t>TOF-VL53L8CX-001</t>
        </is>
      </c>
      <c r="B27" s="5" t="inlineStr">
        <is>
          <t>U9</t>
        </is>
      </c>
      <c r="C27" s="5" t="inlineStr">
        <is>
          <t>Sensors</t>
        </is>
      </c>
      <c r="D27" s="5" t="n">
        <v>1</v>
      </c>
      <c r="E27" s="5" t="inlineStr">
        <is>
          <t>ST VL53L8CX 8x8 ToF Sensor (4m range)</t>
        </is>
      </c>
      <c r="F27" s="5" t="inlineStr">
        <is>
          <t>STMicro</t>
        </is>
      </c>
      <c r="G27" s="5" t="inlineStr">
        <is>
          <t>VL53L8CX</t>
        </is>
      </c>
      <c r="H27" s="6" t="n">
        <v>12</v>
      </c>
      <c r="I27" s="6" t="n">
        <v>9</v>
      </c>
      <c r="J27" s="6" t="n">
        <v>7.5</v>
      </c>
      <c r="K27" s="6" t="n">
        <v>6.5</v>
      </c>
      <c r="L27" s="6" t="n">
        <v>12</v>
      </c>
      <c r="M27" s="5" t="inlineStr">
        <is>
          <t>In stock</t>
        </is>
      </c>
      <c r="N27" s="8" t="inlineStr">
        <is>
          <t>MEDIUM</t>
        </is>
      </c>
      <c r="O27" s="5" t="n">
        <v>32</v>
      </c>
    </row>
    <row r="28">
      <c r="A28" s="5" t="inlineStr">
        <is>
          <t>AIR-SEN66-001</t>
        </is>
      </c>
      <c r="B28" s="5" t="inlineStr">
        <is>
          <t>U10</t>
        </is>
      </c>
      <c r="C28" s="5" t="inlineStr">
        <is>
          <t>Sensors</t>
        </is>
      </c>
      <c r="D28" s="5" t="n">
        <v>1</v>
      </c>
      <c r="E28" s="5" t="inlineStr">
        <is>
          <t>Sensirion SEN66 All-in-one Air Quality</t>
        </is>
      </c>
      <c r="F28" s="5" t="inlineStr">
        <is>
          <t>Sensirion</t>
        </is>
      </c>
      <c r="G28" s="5" t="inlineStr">
        <is>
          <t>SEN66</t>
        </is>
      </c>
      <c r="H28" s="6" t="n">
        <v>45</v>
      </c>
      <c r="I28" s="6" t="n">
        <v>35</v>
      </c>
      <c r="J28" s="6" t="n">
        <v>30</v>
      </c>
      <c r="K28" s="6" t="n">
        <v>25</v>
      </c>
      <c r="L28" s="6" t="n">
        <v>45</v>
      </c>
      <c r="M28" s="5" t="inlineStr">
        <is>
          <t>2 weeks</t>
        </is>
      </c>
      <c r="N28" s="8" t="inlineStr">
        <is>
          <t>MEDIUM</t>
        </is>
      </c>
      <c r="O28" s="5" t="n">
        <v>36</v>
      </c>
    </row>
    <row r="29">
      <c r="A29" s="5" t="inlineStr">
        <is>
          <t>LIGHT-AS7343-001</t>
        </is>
      </c>
      <c r="B29" s="5" t="inlineStr">
        <is>
          <t>U11</t>
        </is>
      </c>
      <c r="C29" s="5" t="inlineStr">
        <is>
          <t>Sensors</t>
        </is>
      </c>
      <c r="D29" s="5" t="n">
        <v>1</v>
      </c>
      <c r="E29" s="5" t="inlineStr">
        <is>
          <t>ams AS7343 14-channel Spectral Light</t>
        </is>
      </c>
      <c r="F29" s="5" t="inlineStr">
        <is>
          <t>ams OSRAM</t>
        </is>
      </c>
      <c r="G29" s="5" t="inlineStr">
        <is>
          <t>AS7343</t>
        </is>
      </c>
      <c r="H29" s="6" t="n">
        <v>8</v>
      </c>
      <c r="I29" s="6" t="n">
        <v>6</v>
      </c>
      <c r="J29" s="6" t="n">
        <v>5</v>
      </c>
      <c r="K29" s="6" t="n">
        <v>4.5</v>
      </c>
      <c r="L29" s="6" t="n">
        <v>8</v>
      </c>
      <c r="M29" s="5" t="inlineStr">
        <is>
          <t>In stock</t>
        </is>
      </c>
      <c r="N29" s="9" t="inlineStr">
        <is>
          <t>LOW</t>
        </is>
      </c>
      <c r="O29" s="5" t="n">
        <v>18</v>
      </c>
    </row>
    <row r="30">
      <c r="A30" s="5" t="inlineStr">
        <is>
          <t>HALL-AH49E-001</t>
        </is>
      </c>
      <c r="B30" s="5" t="inlineStr">
        <is>
          <t>U12</t>
        </is>
      </c>
      <c r="C30" s="5" t="inlineStr">
        <is>
          <t>Sensors</t>
        </is>
      </c>
      <c r="D30" s="5" t="n">
        <v>1</v>
      </c>
      <c r="E30" s="5" t="inlineStr">
        <is>
          <t>AH49E Hall Effect Sensor - Dock Detection</t>
        </is>
      </c>
      <c r="F30" s="5" t="inlineStr">
        <is>
          <t>Digi-Key</t>
        </is>
      </c>
      <c r="G30" s="5" t="inlineStr">
        <is>
          <t>AH49E</t>
        </is>
      </c>
      <c r="H30" s="6" t="n">
        <v>0.8</v>
      </c>
      <c r="I30" s="6" t="n">
        <v>0.5</v>
      </c>
      <c r="J30" s="6" t="n">
        <v>0.4</v>
      </c>
      <c r="K30" s="6" t="n">
        <v>0.35</v>
      </c>
      <c r="L30" s="6" t="n">
        <v>0.8</v>
      </c>
      <c r="M30" s="5" t="inlineStr">
        <is>
          <t>In stock</t>
        </is>
      </c>
      <c r="N30" s="9" t="inlineStr">
        <is>
          <t>LOW</t>
        </is>
      </c>
      <c r="O30" s="5" t="n">
        <v>12</v>
      </c>
    </row>
    <row r="31">
      <c r="A31" s="3">
        <f>== POWER ===</f>
        <v/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5" t="inlineStr">
        <is>
          <t>BAT-LIPO-001</t>
        </is>
      </c>
      <c r="B32" s="5" t="inlineStr">
        <is>
          <t>BAT1</t>
        </is>
      </c>
      <c r="C32" s="5" t="inlineStr">
        <is>
          <t>Power</t>
        </is>
      </c>
      <c r="D32" s="5" t="n">
        <v>1</v>
      </c>
      <c r="E32" s="5" t="inlineStr">
        <is>
          <t>LiPo 3S 4000mAh (44Wh, 8-12h runtime)</t>
        </is>
      </c>
      <c r="F32" s="5" t="inlineStr">
        <is>
          <t>AliExpress</t>
        </is>
      </c>
      <c r="G32" s="5" t="inlineStr">
        <is>
          <t>3S 4000mAh Compact</t>
        </is>
      </c>
      <c r="H32" s="6" t="n">
        <v>28</v>
      </c>
      <c r="I32" s="6" t="n">
        <v>22</v>
      </c>
      <c r="J32" s="6" t="n">
        <v>18</v>
      </c>
      <c r="K32" s="6" t="n">
        <v>15</v>
      </c>
      <c r="L32" s="6" t="n">
        <v>28</v>
      </c>
      <c r="M32" s="5" t="inlineStr">
        <is>
          <t>2 weeks</t>
        </is>
      </c>
      <c r="N32" s="7" t="inlineStr">
        <is>
          <t>HIGH</t>
        </is>
      </c>
      <c r="O32" s="7" t="n">
        <v>144</v>
      </c>
    </row>
    <row r="33">
      <c r="A33" s="5" t="inlineStr">
        <is>
          <t>CHRG-BQ25895-001</t>
        </is>
      </c>
      <c r="B33" s="5" t="inlineStr">
        <is>
          <t>U13</t>
        </is>
      </c>
      <c r="C33" s="5" t="inlineStr">
        <is>
          <t>Power</t>
        </is>
      </c>
      <c r="D33" s="5" t="n">
        <v>1</v>
      </c>
      <c r="E33" s="5" t="inlineStr">
        <is>
          <t>BQ25895 5A Buck-Boost Charger</t>
        </is>
      </c>
      <c r="F33" s="5" t="inlineStr">
        <is>
          <t>Digi-Key</t>
        </is>
      </c>
      <c r="G33" s="5" t="inlineStr">
        <is>
          <t>BQ25895RTWR</t>
        </is>
      </c>
      <c r="H33" s="6" t="n">
        <v>4.26</v>
      </c>
      <c r="I33" s="6" t="n">
        <v>3.2</v>
      </c>
      <c r="J33" s="6" t="n">
        <v>2.8</v>
      </c>
      <c r="K33" s="6" t="n">
        <v>2.4</v>
      </c>
      <c r="L33" s="6" t="n">
        <v>4.26</v>
      </c>
      <c r="M33" s="5" t="inlineStr">
        <is>
          <t>In stock</t>
        </is>
      </c>
      <c r="N33" s="7" t="inlineStr">
        <is>
          <t>HIGH</t>
        </is>
      </c>
      <c r="O33" s="5" t="n">
        <v>54</v>
      </c>
    </row>
    <row r="34">
      <c r="A34" s="5" t="inlineStr">
        <is>
          <t>FUEL-BQ40Z50-001</t>
        </is>
      </c>
      <c r="B34" s="5" t="inlineStr">
        <is>
          <t>U14</t>
        </is>
      </c>
      <c r="C34" s="5" t="inlineStr">
        <is>
          <t>Power</t>
        </is>
      </c>
      <c r="D34" s="5" t="n">
        <v>1</v>
      </c>
      <c r="E34" s="5" t="inlineStr">
        <is>
          <t>BQ40Z50 Smart Battery Fuel Gauge</t>
        </is>
      </c>
      <c r="F34" s="5" t="inlineStr">
        <is>
          <t>Digi-Key</t>
        </is>
      </c>
      <c r="G34" s="5" t="inlineStr">
        <is>
          <t>BQ40Z50RSMR-R1</t>
        </is>
      </c>
      <c r="H34" s="6" t="n">
        <v>5.85</v>
      </c>
      <c r="I34" s="6" t="n">
        <v>4.5</v>
      </c>
      <c r="J34" s="6" t="n">
        <v>3.8</v>
      </c>
      <c r="K34" s="6" t="n">
        <v>3.2</v>
      </c>
      <c r="L34" s="6" t="n">
        <v>5.85</v>
      </c>
      <c r="M34" s="5" t="inlineStr">
        <is>
          <t>In stock</t>
        </is>
      </c>
      <c r="N34" s="8" t="inlineStr">
        <is>
          <t>MEDIUM</t>
        </is>
      </c>
      <c r="O34" s="5" t="n">
        <v>32</v>
      </c>
    </row>
    <row r="35">
      <c r="A35" s="5" t="inlineStr">
        <is>
          <t>WPT-P9415R-001</t>
        </is>
      </c>
      <c r="B35" s="5" t="inlineStr">
        <is>
          <t>U15</t>
        </is>
      </c>
      <c r="C35" s="5" t="inlineStr">
        <is>
          <t>Power</t>
        </is>
      </c>
      <c r="D35" s="5" t="n">
        <v>1</v>
      </c>
      <c r="E35" s="5" t="inlineStr">
        <is>
          <t>Renesas P9415-R 15W Wireless Receiver</t>
        </is>
      </c>
      <c r="F35" s="5" t="inlineStr">
        <is>
          <t>Renesas</t>
        </is>
      </c>
      <c r="G35" s="5" t="inlineStr">
        <is>
          <t>P9415-R</t>
        </is>
      </c>
      <c r="H35" s="6" t="n">
        <v>12</v>
      </c>
      <c r="I35" s="6" t="n">
        <v>8</v>
      </c>
      <c r="J35" s="6" t="n">
        <v>6.5</v>
      </c>
      <c r="K35" s="6" t="n">
        <v>5.5</v>
      </c>
      <c r="L35" s="6" t="n">
        <v>12</v>
      </c>
      <c r="M35" s="5" t="inlineStr">
        <is>
          <t>2 weeks</t>
        </is>
      </c>
      <c r="N35" s="7" t="inlineStr">
        <is>
          <t>HIGH</t>
        </is>
      </c>
      <c r="O35" s="7" t="n">
        <v>105</v>
      </c>
    </row>
    <row r="36">
      <c r="A36" s="5" t="inlineStr">
        <is>
          <t>COIL-RX-001</t>
        </is>
      </c>
      <c r="B36" s="5" t="inlineStr">
        <is>
          <t>L1</t>
        </is>
      </c>
      <c r="C36" s="5" t="inlineStr">
        <is>
          <t>Power</t>
        </is>
      </c>
      <c r="D36" s="5" t="n">
        <v>1</v>
      </c>
      <c r="E36" s="5" t="inlineStr">
        <is>
          <t>RX Coil 70mm Compact (Litz, 85uH)</t>
        </is>
      </c>
      <c r="F36" s="5" t="inlineStr">
        <is>
          <t>Custom</t>
        </is>
      </c>
      <c r="G36" s="5" t="inlineStr">
        <is>
          <t>Custom 70mm Coil</t>
        </is>
      </c>
      <c r="H36" s="6" t="n">
        <v>20</v>
      </c>
      <c r="I36" s="6" t="n">
        <v>0.28</v>
      </c>
      <c r="J36" s="6" t="n">
        <v>0.22</v>
      </c>
      <c r="K36" s="6" t="n">
        <v>0.18</v>
      </c>
      <c r="L36" s="6" t="n">
        <v>20</v>
      </c>
      <c r="M36" s="5" t="inlineStr">
        <is>
          <t>4 weeks</t>
        </is>
      </c>
      <c r="N36" s="7" t="inlineStr">
        <is>
          <t>HIGH</t>
        </is>
      </c>
      <c r="O36" s="5" t="n">
        <v>72</v>
      </c>
    </row>
    <row r="37">
      <c r="A37" s="3">
        <f>== MAGLEV ===</f>
        <v/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5" t="inlineStr">
        <is>
          <t>MAGLEV-HCNT-001</t>
        </is>
      </c>
      <c r="B38" s="5" t="inlineStr">
        <is>
          <t>MAG1</t>
        </is>
      </c>
      <c r="C38" s="5" t="inlineStr">
        <is>
          <t>Maglev</t>
        </is>
      </c>
      <c r="D38" s="5" t="n">
        <v>1</v>
      </c>
      <c r="E38" s="5" t="inlineStr">
        <is>
          <t>HCNT Magnetic Levitation Module (2kg)</t>
        </is>
      </c>
      <c r="F38" s="5" t="inlineStr">
        <is>
          <t>HCNT Alibaba</t>
        </is>
      </c>
      <c r="G38" s="5" t="inlineStr">
        <is>
          <t>Naked Maglev</t>
        </is>
      </c>
      <c r="H38" s="6" t="n">
        <v>45</v>
      </c>
      <c r="I38" s="6" t="n">
        <v>30</v>
      </c>
      <c r="J38" s="6" t="n">
        <v>25</v>
      </c>
      <c r="K38" s="6" t="n">
        <v>22</v>
      </c>
      <c r="L38" s="6" t="n">
        <v>45</v>
      </c>
      <c r="M38" s="5" t="inlineStr">
        <is>
          <t>30-35 days</t>
        </is>
      </c>
      <c r="N38" s="7" t="inlineStr">
        <is>
          <t>HIGH</t>
        </is>
      </c>
      <c r="O38" s="5" t="n">
        <v>56</v>
      </c>
    </row>
    <row r="39">
      <c r="A39" s="3">
        <f>== ENCLOSURE ===</f>
        <v/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5" t="inlineStr">
        <is>
          <t>ENCL-SHELL-001</t>
        </is>
      </c>
      <c r="B40" s="5" t="inlineStr">
        <is>
          <t>ENC1</t>
        </is>
      </c>
      <c r="C40" s="5" t="inlineStr">
        <is>
          <t>Enclosure</t>
        </is>
      </c>
      <c r="D40" s="5" t="n">
        <v>1</v>
      </c>
      <c r="E40" s="5" t="inlineStr">
        <is>
          <t>85mm Sphere Shell (SLA/Injection)</t>
        </is>
      </c>
      <c r="F40" s="5" t="inlineStr">
        <is>
          <t>Protolabs/Xometry</t>
        </is>
      </c>
      <c r="G40" s="5" t="inlineStr">
        <is>
          <t>Custom</t>
        </is>
      </c>
      <c r="H40" s="6" t="n">
        <v>50</v>
      </c>
      <c r="I40" s="6" t="n">
        <v>25</v>
      </c>
      <c r="J40" s="6" t="n">
        <v>8</v>
      </c>
      <c r="K40" s="6" t="n">
        <v>5</v>
      </c>
      <c r="L40" s="6" t="n">
        <v>50</v>
      </c>
      <c r="M40" s="5" t="inlineStr">
        <is>
          <t>2-4 weeks</t>
        </is>
      </c>
      <c r="N40" s="8" t="inlineStr">
        <is>
          <t>MEDIUM</t>
        </is>
      </c>
      <c r="O40" s="5" t="n">
        <v>48</v>
      </c>
    </row>
    <row r="42">
      <c r="K42" s="10" t="inlineStr">
        <is>
          <t>TOTAL (Qty 1):</t>
        </is>
      </c>
      <c r="L42" s="11">
        <f>SUMPRODUCT(D6:D40,H6:H40)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 SCENARIO ANALYSIS</t>
        </is>
      </c>
    </row>
    <row r="3">
      <c r="A3" s="12" t="inlineStr">
        <is>
          <t>Category</t>
        </is>
      </c>
      <c r="B3" s="12" t="inlineStr">
        <is>
          <t>Qty 1</t>
        </is>
      </c>
      <c r="C3" s="12" t="inlineStr">
        <is>
          <t>Qty 10</t>
        </is>
      </c>
      <c r="D3" s="12" t="inlineStr">
        <is>
          <t>Qty 100</t>
        </is>
      </c>
      <c r="E3" s="12" t="inlineStr">
        <is>
          <t>Qty 500</t>
        </is>
      </c>
      <c r="F3" s="12" t="inlineStr">
        <is>
          <t>Qty 1000</t>
        </is>
      </c>
      <c r="G3" s="12" t="inlineStr">
        <is>
          <t>Notes</t>
        </is>
      </c>
    </row>
    <row r="4">
      <c r="A4" t="inlineStr">
        <is>
          <t>Compute</t>
        </is>
      </c>
      <c r="B4" s="6" t="n">
        <v>233.34</v>
      </c>
      <c r="C4" s="6" t="n">
        <v>221.673</v>
      </c>
      <c r="D4" s="6" t="n">
        <v>187.8</v>
      </c>
      <c r="E4" s="6" t="n">
        <v>162.5</v>
      </c>
      <c r="F4" s="6" t="n">
        <v>142.2</v>
      </c>
    </row>
    <row r="5">
      <c r="A5" t="inlineStr">
        <is>
          <t>Display</t>
        </is>
      </c>
      <c r="B5" s="6" t="n">
        <v>200</v>
      </c>
      <c r="C5" s="6" t="n">
        <v>190</v>
      </c>
      <c r="D5" s="6" t="n">
        <v>153</v>
      </c>
      <c r="E5" s="6" t="n">
        <v>126</v>
      </c>
      <c r="F5" s="6" t="n">
        <v>104</v>
      </c>
    </row>
    <row r="6">
      <c r="A6" t="inlineStr">
        <is>
          <t>Camera</t>
        </is>
      </c>
      <c r="B6" s="6" t="n">
        <v>95</v>
      </c>
      <c r="C6" s="6" t="n">
        <v>90.25</v>
      </c>
      <c r="D6" s="6" t="n">
        <v>75</v>
      </c>
      <c r="E6" s="6" t="n">
        <v>65</v>
      </c>
      <c r="F6" s="6" t="n">
        <v>55</v>
      </c>
    </row>
    <row r="7">
      <c r="A7" t="inlineStr">
        <is>
          <t>Audio</t>
        </is>
      </c>
      <c r="B7" s="6" t="n">
        <v>246.96</v>
      </c>
      <c r="C7" s="6" t="n">
        <v>234.612</v>
      </c>
      <c r="D7" s="6" t="n">
        <v>175.1</v>
      </c>
      <c r="E7" s="6" t="n">
        <v>145.8</v>
      </c>
      <c r="F7" s="6" t="n">
        <v>124.5</v>
      </c>
    </row>
    <row r="8">
      <c r="A8" t="inlineStr">
        <is>
          <t>LEDs</t>
        </is>
      </c>
      <c r="B8" s="6" t="n">
        <v>8</v>
      </c>
      <c r="C8" s="6" t="n">
        <v>7.6</v>
      </c>
      <c r="D8" s="6" t="n">
        <v>4.8</v>
      </c>
      <c r="E8" s="6" t="n">
        <v>4</v>
      </c>
      <c r="F8" s="6" t="n">
        <v>3.2</v>
      </c>
    </row>
    <row r="9">
      <c r="A9" t="inlineStr">
        <is>
          <t>Sensors</t>
        </is>
      </c>
      <c r="B9" s="6" t="n">
        <v>78.8</v>
      </c>
      <c r="C9" s="6" t="n">
        <v>74.86</v>
      </c>
      <c r="D9" s="6" t="n">
        <v>60</v>
      </c>
      <c r="E9" s="6" t="n">
        <v>50.9</v>
      </c>
      <c r="F9" s="6" t="n">
        <v>43.35</v>
      </c>
    </row>
    <row r="10">
      <c r="A10" t="inlineStr">
        <is>
          <t>Power</t>
        </is>
      </c>
      <c r="B10" s="6" t="n">
        <v>70.11</v>
      </c>
      <c r="C10" s="6" t="n">
        <v>66.6045</v>
      </c>
      <c r="D10" s="6" t="n">
        <v>37.98</v>
      </c>
      <c r="E10" s="6" t="n">
        <v>31.32</v>
      </c>
      <c r="F10" s="6" t="n">
        <v>26.28</v>
      </c>
    </row>
    <row r="11">
      <c r="A11" t="inlineStr">
        <is>
          <t>Maglev</t>
        </is>
      </c>
      <c r="B11" s="6" t="n">
        <v>45</v>
      </c>
      <c r="C11" s="6" t="n">
        <v>42.75</v>
      </c>
      <c r="D11" s="6" t="n">
        <v>30</v>
      </c>
      <c r="E11" s="6" t="n">
        <v>25</v>
      </c>
      <c r="F11" s="6" t="n">
        <v>22</v>
      </c>
    </row>
    <row r="12">
      <c r="A12" t="inlineStr">
        <is>
          <t>Enclosure</t>
        </is>
      </c>
      <c r="B12" s="6" t="n">
        <v>50</v>
      </c>
      <c r="C12" s="6" t="n">
        <v>47.5</v>
      </c>
      <c r="D12" s="6" t="n">
        <v>25</v>
      </c>
      <c r="E12" s="6" t="n">
        <v>8</v>
      </c>
      <c r="F12" s="6" t="n">
        <v>5</v>
      </c>
    </row>
    <row r="14">
      <c r="A14" s="10" t="inlineStr">
        <is>
          <t>Assembly Labor</t>
        </is>
      </c>
      <c r="B14" s="6" t="n">
        <v>50</v>
      </c>
      <c r="C14" s="6" t="n">
        <v>40</v>
      </c>
      <c r="D14" s="6" t="n">
        <v>25</v>
      </c>
      <c r="E14" s="6" t="n">
        <v>15</v>
      </c>
      <c r="F14" s="6" t="n">
        <v>12</v>
      </c>
    </row>
    <row r="15">
      <c r="A15" t="inlineStr">
        <is>
          <t>Tooling (Amortized)</t>
        </is>
      </c>
      <c r="B15" s="6" t="n">
        <v>0</v>
      </c>
      <c r="C15" s="6" t="n">
        <v>0</v>
      </c>
      <c r="D15" s="6" t="n">
        <v>80</v>
      </c>
      <c r="E15" s="6" t="n">
        <v>30</v>
      </c>
      <c r="F15" s="6" t="n">
        <v>15</v>
      </c>
      <c r="G15" t="inlineStr">
        <is>
          <t>$8K at 100, $15K at 500+</t>
        </is>
      </c>
    </row>
    <row r="16">
      <c r="A16" t="inlineStr">
        <is>
          <t>Certification (Amortized)</t>
        </is>
      </c>
      <c r="B16" s="6" t="n">
        <v>0</v>
      </c>
      <c r="C16" s="6" t="n">
        <v>0</v>
      </c>
      <c r="D16" s="6" t="n">
        <v>50</v>
      </c>
      <c r="E16" s="6" t="n">
        <v>12</v>
      </c>
      <c r="F16" s="6" t="n">
        <v>6</v>
      </c>
      <c r="G16" t="inlineStr">
        <is>
          <t>FCC/CE/UL ~$5-8K total</t>
        </is>
      </c>
    </row>
    <row r="18">
      <c r="A18" s="13" t="inlineStr">
        <is>
          <t>TOTAL PER UNIT</t>
        </is>
      </c>
      <c r="B18" s="14" t="n">
        <v>1077.21</v>
      </c>
      <c r="C18" s="14" t="n">
        <v>1015.8495</v>
      </c>
      <c r="D18" s="14" t="n">
        <v>903.6799999999999</v>
      </c>
      <c r="E18" s="14" t="n">
        <v>675.5200000000001</v>
      </c>
      <c r="F18" s="14" t="n">
        <v>558.53</v>
      </c>
    </row>
    <row r="19">
      <c r="A19" t="inlineStr">
        <is>
          <t>TOTAL PROGRAM COST</t>
        </is>
      </c>
      <c r="B19" s="15" t="n">
        <v>1077.21</v>
      </c>
      <c r="C19" s="15" t="n">
        <v>10158.495</v>
      </c>
      <c r="D19" s="15" t="n">
        <v>90368</v>
      </c>
      <c r="E19" s="15" t="n">
        <v>336760.0000000001</v>
      </c>
      <c r="F19" s="15" t="n">
        <v>557530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8" customWidth="1" min="4" max="4"/>
    <col width="12" customWidth="1" min="5" max="5"/>
    <col width="15" customWidth="1" min="6" max="6"/>
    <col width="25" customWidth="1" min="7" max="7"/>
    <col width="35" customWidth="1" min="8" max="8"/>
  </cols>
  <sheetData>
    <row r="1">
      <c r="A1" s="1" t="inlineStr">
        <is>
          <t>MANUFACTURING PARTNER DIRECTORY</t>
        </is>
      </c>
    </row>
    <row r="3">
      <c r="A3" s="12" t="inlineStr">
        <is>
          <t>Stage</t>
        </is>
      </c>
      <c r="B3" s="12" t="inlineStr">
        <is>
          <t>Partner</t>
        </is>
      </c>
      <c r="C3" s="12" t="inlineStr">
        <is>
          <t>Location</t>
        </is>
      </c>
      <c r="D3" s="12" t="inlineStr">
        <is>
          <t>MOQ</t>
        </is>
      </c>
      <c r="E3" s="12" t="inlineStr">
        <is>
          <t>Lead Time</t>
        </is>
      </c>
      <c r="F3" s="12" t="inlineStr">
        <is>
          <t>Cost</t>
        </is>
      </c>
      <c r="G3" s="12" t="inlineStr">
        <is>
          <t>Contact</t>
        </is>
      </c>
      <c r="H3" s="12" t="inlineStr">
        <is>
          <t>Notes</t>
        </is>
      </c>
    </row>
    <row r="4">
      <c r="A4" s="5" t="inlineStr">
        <is>
          <t>PCBA (Prototype)</t>
        </is>
      </c>
      <c r="B4" s="5" t="inlineStr">
        <is>
          <t>JLCPCB</t>
        </is>
      </c>
      <c r="C4" s="5" t="inlineStr">
        <is>
          <t>China</t>
        </is>
      </c>
      <c r="D4" s="5" t="inlineStr">
        <is>
          <t>1</t>
        </is>
      </c>
      <c r="E4" s="5" t="inlineStr">
        <is>
          <t>5-7 days</t>
        </is>
      </c>
      <c r="F4" s="5" t="inlineStr">
        <is>
          <t>$2 setup</t>
        </is>
      </c>
      <c r="G4" s="5" t="inlineStr">
        <is>
          <t>jlcpcb.com</t>
        </is>
      </c>
      <c r="H4" s="5" t="inlineStr">
        <is>
          <t>Best for 1-50 units</t>
        </is>
      </c>
    </row>
    <row r="5">
      <c r="A5" s="5" t="inlineStr">
        <is>
          <t>PCBA (Prototype)</t>
        </is>
      </c>
      <c r="B5" s="5" t="inlineStr">
        <is>
          <t>PCBWay</t>
        </is>
      </c>
      <c r="C5" s="5" t="inlineStr">
        <is>
          <t>China</t>
        </is>
      </c>
      <c r="D5" s="5" t="inlineStr">
        <is>
          <t>1</t>
        </is>
      </c>
      <c r="E5" s="5" t="inlineStr">
        <is>
          <t>3-5 days</t>
        </is>
      </c>
      <c r="F5" s="5" t="inlineStr">
        <is>
          <t>Free setup</t>
        </is>
      </c>
      <c r="G5" s="5" t="inlineStr">
        <is>
          <t>pcbway.com</t>
        </is>
      </c>
      <c r="H5" s="5" t="inlineStr">
        <is>
          <t>Free SMT stencil</t>
        </is>
      </c>
    </row>
    <row r="6">
      <c r="A6" s="5" t="inlineStr">
        <is>
          <t>PCBA (Pilot)</t>
        </is>
      </c>
      <c r="B6" s="5" t="inlineStr">
        <is>
          <t>Seeed Fusion</t>
        </is>
      </c>
      <c r="C6" s="5" t="inlineStr">
        <is>
          <t>China</t>
        </is>
      </c>
      <c r="D6" s="5" t="inlineStr">
        <is>
          <t>10</t>
        </is>
      </c>
      <c r="E6" s="5" t="inlineStr">
        <is>
          <t>7-10 days</t>
        </is>
      </c>
      <c r="F6" s="5" t="inlineStr">
        <is>
          <t>$0.50/joint</t>
        </is>
      </c>
      <c r="G6" s="5" t="inlineStr">
        <is>
          <t>seeedstudio.com</t>
        </is>
      </c>
      <c r="H6" s="5" t="inlineStr">
        <is>
          <t>Good DFM support</t>
        </is>
      </c>
    </row>
    <row r="7">
      <c r="A7" s="5" t="inlineStr">
        <is>
          <t>PCBA (Production)</t>
        </is>
      </c>
      <c r="B7" s="5" t="inlineStr">
        <is>
          <t>MacroFab</t>
        </is>
      </c>
      <c r="C7" s="5" t="inlineStr">
        <is>
          <t>USA</t>
        </is>
      </c>
      <c r="D7" s="5" t="inlineStr">
        <is>
          <t>100</t>
        </is>
      </c>
      <c r="E7" s="5" t="inlineStr">
        <is>
          <t>10-15 days</t>
        </is>
      </c>
      <c r="F7" s="5" t="inlineStr">
        <is>
          <t>$0.02/joint</t>
        </is>
      </c>
      <c r="G7" s="5" t="inlineStr">
        <is>
          <t>macrofab.com</t>
        </is>
      </c>
      <c r="H7" s="5" t="inlineStr">
        <is>
          <t>US-based, turnkey</t>
        </is>
      </c>
    </row>
    <row r="8">
      <c r="A8" s="5" t="inlineStr">
        <is>
          <t>PCBA (Production)</t>
        </is>
      </c>
      <c r="B8" s="5" t="inlineStr">
        <is>
          <t>Tempo Automation</t>
        </is>
      </c>
      <c r="C8" s="5" t="inlineStr">
        <is>
          <t>USA</t>
        </is>
      </c>
      <c r="D8" s="5" t="inlineStr">
        <is>
          <t>10</t>
        </is>
      </c>
      <c r="E8" s="5" t="inlineStr">
        <is>
          <t>3-5 days</t>
        </is>
      </c>
      <c r="F8" s="5" t="inlineStr">
        <is>
          <t>Premium</t>
        </is>
      </c>
      <c r="G8" s="5" t="inlineStr">
        <is>
          <t>tempoautomation.com</t>
        </is>
      </c>
      <c r="H8" s="5" t="inlineStr">
        <is>
          <t>Fast turn, high quality</t>
        </is>
      </c>
    </row>
    <row r="9">
      <c r="A9" s="5" t="inlineStr">
        <is>
          <t>Box Build (CM)</t>
        </is>
      </c>
      <c r="B9" s="5" t="inlineStr">
        <is>
          <t>Sofeast</t>
        </is>
      </c>
      <c r="C9" s="5" t="inlineStr">
        <is>
          <t>China</t>
        </is>
      </c>
      <c r="D9" s="5" t="inlineStr">
        <is>
          <t>100</t>
        </is>
      </c>
      <c r="E9" s="5" t="inlineStr">
        <is>
          <t>4-6 weeks</t>
        </is>
      </c>
      <c r="F9" s="5" t="inlineStr">
        <is>
          <t>$5-15/unit</t>
        </is>
      </c>
      <c r="G9" s="5" t="inlineStr">
        <is>
          <t>sofeast.com</t>
        </is>
      </c>
      <c r="H9" s="5" t="inlineStr">
        <is>
          <t>Full turnkey CM</t>
        </is>
      </c>
    </row>
    <row r="10">
      <c r="A10" s="5" t="inlineStr">
        <is>
          <t>Box Build (CM)</t>
        </is>
      </c>
      <c r="B10" s="5" t="inlineStr">
        <is>
          <t>Viasion</t>
        </is>
      </c>
      <c r="C10" s="5" t="inlineStr">
        <is>
          <t>China</t>
        </is>
      </c>
      <c r="D10" s="5" t="inlineStr">
        <is>
          <t>500</t>
        </is>
      </c>
      <c r="E10" s="5" t="inlineStr">
        <is>
          <t>6-8 weeks</t>
        </is>
      </c>
      <c r="F10" s="5" t="inlineStr">
        <is>
          <t>$3-8/unit</t>
        </is>
      </c>
      <c r="G10" s="5" t="inlineStr">
        <is>
          <t>viasion.com</t>
        </is>
      </c>
      <c r="H10" s="5" t="inlineStr">
        <is>
          <t>Consumer electronics specialist</t>
        </is>
      </c>
    </row>
    <row r="11">
      <c r="A11" s="5" t="inlineStr">
        <is>
          <t>Enclosure (Prototype)</t>
        </is>
      </c>
      <c r="B11" s="5" t="inlineStr">
        <is>
          <t>Protolabs</t>
        </is>
      </c>
      <c r="C11" s="5" t="inlineStr">
        <is>
          <t>USA</t>
        </is>
      </c>
      <c r="D11" s="5" t="inlineStr">
        <is>
          <t>1</t>
        </is>
      </c>
      <c r="E11" s="5" t="inlineStr">
        <is>
          <t>3-5 days</t>
        </is>
      </c>
      <c r="F11" s="5" t="inlineStr">
        <is>
          <t>$50-200/part</t>
        </is>
      </c>
      <c r="G11" s="5" t="inlineStr">
        <is>
          <t>protolabs.com</t>
        </is>
      </c>
      <c r="H11" s="5" t="inlineStr">
        <is>
          <t>SLA, MJF, SLS</t>
        </is>
      </c>
    </row>
    <row r="12">
      <c r="A12" s="5" t="inlineStr">
        <is>
          <t>Enclosure (Production)</t>
        </is>
      </c>
      <c r="B12" s="5" t="inlineStr">
        <is>
          <t>Xometry</t>
        </is>
      </c>
      <c r="C12" s="5" t="inlineStr">
        <is>
          <t>USA</t>
        </is>
      </c>
      <c r="D12" s="5" t="inlineStr">
        <is>
          <t>1</t>
        </is>
      </c>
      <c r="E12" s="5" t="inlineStr">
        <is>
          <t>5-10 days</t>
        </is>
      </c>
      <c r="F12" s="5" t="inlineStr">
        <is>
          <t>Instant quote</t>
        </is>
      </c>
      <c r="G12" s="5" t="inlineStr">
        <is>
          <t>xometry.com</t>
        </is>
      </c>
      <c r="H12" s="5" t="inlineStr">
        <is>
          <t>Injection tooling $3-15K</t>
        </is>
      </c>
    </row>
    <row r="13">
      <c r="A13" s="5" t="inlineStr">
        <is>
          <t>Custom Coils</t>
        </is>
      </c>
      <c r="B13" s="5" t="inlineStr">
        <is>
          <t>Vishay/Würth</t>
        </is>
      </c>
      <c r="C13" s="5" t="inlineStr">
        <is>
          <t>Various</t>
        </is>
      </c>
      <c r="D13" s="5" t="inlineStr">
        <is>
          <t>1000</t>
        </is>
      </c>
      <c r="E13" s="5" t="inlineStr">
        <is>
          <t>4-6 weeks</t>
        </is>
      </c>
      <c r="F13" s="5" t="inlineStr">
        <is>
          <t>$0.20-0.50/coil</t>
        </is>
      </c>
      <c r="G13" s="5" t="inlineStr">
        <is>
          <t>vishay.com</t>
        </is>
      </c>
      <c r="H13" s="5" t="inlineStr">
        <is>
          <t>Litz wire specialty</t>
        </is>
      </c>
    </row>
    <row r="14">
      <c r="A14" s="5" t="inlineStr">
        <is>
          <t>Certification</t>
        </is>
      </c>
      <c r="B14" s="5" t="inlineStr">
        <is>
          <t>NTS</t>
        </is>
      </c>
      <c r="C14" s="5" t="inlineStr">
        <is>
          <t>USA</t>
        </is>
      </c>
      <c r="D14" s="5" t="inlineStr">
        <is>
          <t>-</t>
        </is>
      </c>
      <c r="E14" s="5" t="inlineStr">
        <is>
          <t>4-8 weeks</t>
        </is>
      </c>
      <c r="F14" s="5" t="inlineStr">
        <is>
          <t>$3-8K</t>
        </is>
      </c>
      <c r="G14" s="5" t="inlineStr">
        <is>
          <t>nts.com</t>
        </is>
      </c>
      <c r="H14" s="5" t="inlineStr">
        <is>
          <t>FCC/CE/UL testing</t>
        </is>
      </c>
    </row>
    <row r="15">
      <c r="A15" s="5" t="inlineStr">
        <is>
          <t>Certification</t>
        </is>
      </c>
      <c r="B15" s="5" t="inlineStr">
        <is>
          <t>Bureau Veritas</t>
        </is>
      </c>
      <c r="C15" s="5" t="inlineStr">
        <is>
          <t>Global</t>
        </is>
      </c>
      <c r="D15" s="5" t="inlineStr">
        <is>
          <t>-</t>
        </is>
      </c>
      <c r="E15" s="5" t="inlineStr">
        <is>
          <t>6-10 weeks</t>
        </is>
      </c>
      <c r="F15" s="5" t="inlineStr">
        <is>
          <t>$5-15K</t>
        </is>
      </c>
      <c r="G15" s="5" t="inlineStr">
        <is>
          <t>bureauveritas.com</t>
        </is>
      </c>
      <c r="H15" s="5" t="inlineStr">
        <is>
          <t>Full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" customWidth="1" min="3" max="3"/>
    <col width="6" customWidth="1" min="4" max="4"/>
    <col width="6" customWidth="1" min="5" max="5"/>
    <col width="8" customWidth="1" min="6" max="6"/>
    <col width="50" customWidth="1" min="7" max="7"/>
  </cols>
  <sheetData>
    <row r="1">
      <c r="A1" s="1" t="inlineStr">
        <is>
          <t>FMEA CRITICAL ITEMS (RPN &gt; 100)</t>
        </is>
      </c>
    </row>
    <row r="2">
      <c r="A2" s="16" t="inlineStr">
        <is>
          <t>Items requiring immediate mitigation before production</t>
        </is>
      </c>
    </row>
    <row r="4">
      <c r="A4" s="12" t="inlineStr">
        <is>
          <t>Component</t>
        </is>
      </c>
      <c r="B4" s="12" t="inlineStr">
        <is>
          <t>Failure Mode</t>
        </is>
      </c>
      <c r="C4" s="12" t="inlineStr">
        <is>
          <t>S</t>
        </is>
      </c>
      <c r="D4" s="12" t="inlineStr">
        <is>
          <t>O</t>
        </is>
      </c>
      <c r="E4" s="12" t="inlineStr">
        <is>
          <t>D</t>
        </is>
      </c>
      <c r="F4" s="12" t="inlineStr">
        <is>
          <t>RPN</t>
        </is>
      </c>
      <c r="G4" s="12" t="inlineStr">
        <is>
          <t>Mitigation</t>
        </is>
      </c>
    </row>
    <row r="5">
      <c r="A5" s="5" t="inlineStr">
        <is>
          <t>sensiBel SBM100B</t>
        </is>
      </c>
      <c r="B5" s="5" t="inlineStr">
        <is>
          <t>Single source supplier unavailable</t>
        </is>
      </c>
      <c r="C5" s="5" t="n">
        <v>8</v>
      </c>
      <c r="D5" s="5" t="n">
        <v>7</v>
      </c>
      <c r="E5" s="5" t="n">
        <v>4</v>
      </c>
      <c r="F5" s="7" t="n">
        <v>224</v>
      </c>
      <c r="G5" s="5" t="inlineStr">
        <is>
          <t>Dual footprint PCB for INMP441 fallback</t>
        </is>
      </c>
    </row>
    <row r="6">
      <c r="A6" s="5" t="inlineStr">
        <is>
          <t>Sony IMX989</t>
        </is>
      </c>
      <c r="B6" s="5" t="inlineStr">
        <is>
          <t>Flagship sensor allocation</t>
        </is>
      </c>
      <c r="C6" s="5" t="n">
        <v>7</v>
      </c>
      <c r="D6" s="5" t="n">
        <v>5</v>
      </c>
      <c r="E6" s="5" t="n">
        <v>5</v>
      </c>
      <c r="F6" s="8" t="n">
        <v>175</v>
      </c>
      <c r="G6" s="5" t="inlineStr">
        <is>
          <t>IMX890/IMX766 alternative qualified</t>
        </is>
      </c>
    </row>
    <row r="7">
      <c r="A7" s="5" t="inlineStr">
        <is>
          <t>Round AMOLED</t>
        </is>
      </c>
      <c r="B7" s="5" t="inlineStr">
        <is>
          <t>Transparency insufficient for camera</t>
        </is>
      </c>
      <c r="C7" s="5" t="n">
        <v>8</v>
      </c>
      <c r="D7" s="5" t="n">
        <v>4</v>
      </c>
      <c r="E7" s="5" t="n">
        <v>5</v>
      </c>
      <c r="F7" s="8" t="n">
        <v>160</v>
      </c>
      <c r="G7" s="5" t="inlineStr">
        <is>
          <t>Prototype validation required</t>
        </is>
      </c>
    </row>
    <row r="8">
      <c r="A8" s="5" t="inlineStr">
        <is>
          <t>Battery 3S</t>
        </is>
      </c>
      <c r="B8" s="5" t="inlineStr">
        <is>
          <t>Thermal runaway in sealed sphere</t>
        </is>
      </c>
      <c r="C8" s="5" t="n">
        <v>10</v>
      </c>
      <c r="D8" s="5" t="n">
        <v>2</v>
      </c>
      <c r="E8" s="5" t="n">
        <v>3</v>
      </c>
      <c r="F8" s="5" t="n">
        <v>144</v>
      </c>
      <c r="G8" s="5" t="inlineStr">
        <is>
          <t>BQ40Z50 protection, temp monitoring</t>
        </is>
      </c>
    </row>
    <row r="9">
      <c r="A9" s="5" t="inlineStr">
        <is>
          <t>Battery 3S</t>
        </is>
      </c>
      <c r="B9" s="5" t="inlineStr">
        <is>
          <t>Swelling in sealed enclosure</t>
        </is>
      </c>
      <c r="C9" s="5" t="n">
        <v>9</v>
      </c>
      <c r="D9" s="5" t="n">
        <v>2</v>
      </c>
      <c r="E9" s="5" t="n">
        <v>8</v>
      </c>
      <c r="F9" s="5" t="n">
        <v>144</v>
      </c>
      <c r="G9" s="5" t="inlineStr">
        <is>
          <t>Vent design, pressure relief</t>
        </is>
      </c>
    </row>
    <row r="10">
      <c r="A10" s="5" t="inlineStr">
        <is>
          <t>Dielectric Mirror</t>
        </is>
      </c>
      <c r="B10" s="5" t="inlineStr">
        <is>
          <t>Coating delamination</t>
        </is>
      </c>
      <c r="C10" s="5" t="n">
        <v>7</v>
      </c>
      <c r="D10" s="5" t="n">
        <v>4</v>
      </c>
      <c r="E10" s="5" t="n">
        <v>5</v>
      </c>
      <c r="F10" s="5" t="n">
        <v>140</v>
      </c>
      <c r="G10" s="5" t="inlineStr">
        <is>
          <t>Adhesion testing, supplier qualification</t>
        </is>
      </c>
    </row>
    <row r="11">
      <c r="A11" s="5" t="inlineStr">
        <is>
          <t>QCS6490</t>
        </is>
      </c>
      <c r="B11" s="5" t="inlineStr">
        <is>
          <t>Thermal throttling in sphere</t>
        </is>
      </c>
      <c r="C11" s="5" t="n">
        <v>8</v>
      </c>
      <c r="D11" s="5" t="n">
        <v>4</v>
      </c>
      <c r="E11" s="5" t="n">
        <v>4</v>
      </c>
      <c r="F11" s="5" t="n">
        <v>128</v>
      </c>
      <c r="G11" s="5" t="inlineStr">
        <is>
          <t>FEA thermal simulation $6-8K</t>
        </is>
      </c>
    </row>
    <row r="12">
      <c r="A12" s="5" t="inlineStr">
        <is>
          <t>P9415-R</t>
        </is>
      </c>
      <c r="B12" s="5" t="inlineStr">
        <is>
          <t>WPT/Maglev interference</t>
        </is>
      </c>
      <c r="C12" s="5" t="n">
        <v>7</v>
      </c>
      <c r="D12" s="5" t="n">
        <v>3</v>
      </c>
      <c r="E12" s="5" t="n">
        <v>5</v>
      </c>
      <c r="F12" s="5" t="n">
        <v>105</v>
      </c>
      <c r="G12" s="5" t="inlineStr">
        <is>
          <t>Ferrite shielding, frequency coordination</t>
        </is>
      </c>
    </row>
    <row r="15">
      <c r="A15" t="inlineStr">
        <is>
          <t>RPN = Severity × Occurrence × Detection</t>
        </is>
      </c>
    </row>
    <row r="16">
      <c r="A16" s="17" t="inlineStr">
        <is>
          <t>RPN &gt; 200: CRITICAL - Must resolve before prototype</t>
        </is>
      </c>
    </row>
    <row r="17">
      <c r="A17" s="18" t="inlineStr">
        <is>
          <t>RPN 150-200: HIGH - Must resolve before pilot</t>
        </is>
      </c>
    </row>
    <row r="18">
      <c r="A18" t="inlineStr">
        <is>
          <t>RPN 100-150: MEDIUM - Must resolve before production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COST SENSITIVITY ANALYSIS</t>
        </is>
      </c>
    </row>
    <row r="2">
      <c r="A2" t="inlineStr">
        <is>
          <t>Impact of component cost changes on total BOM</t>
        </is>
      </c>
    </row>
    <row r="4">
      <c r="A4" s="10" t="inlineStr">
        <is>
          <t>TOP COST CONTRIBUTORS (Qty 100)</t>
        </is>
      </c>
    </row>
    <row r="5">
      <c r="A5" s="12" t="inlineStr">
        <is>
          <t>Component</t>
        </is>
      </c>
      <c r="B5" s="12" t="inlineStr">
        <is>
          <t>Current Cost</t>
        </is>
      </c>
      <c r="C5" s="12" t="inlineStr">
        <is>
          <t>% of BOM</t>
        </is>
      </c>
      <c r="D5" s="12" t="inlineStr">
        <is>
          <t>+20% Impact</t>
        </is>
      </c>
      <c r="E5" s="12" t="inlineStr">
        <is>
          <t>-20% Impact</t>
        </is>
      </c>
    </row>
    <row r="6">
      <c r="A6" s="5" t="inlineStr">
        <is>
          <t>Qualcomm QCS6490 SoM - 12 TOPS NPU, WiFi</t>
        </is>
      </c>
      <c r="B6" s="6" t="n">
        <v>110</v>
      </c>
      <c r="C6" s="19" t="n">
        <v>0.1469252551156703</v>
      </c>
      <c r="D6" s="6" t="n">
        <v>22</v>
      </c>
      <c r="E6" s="6" t="n">
        <v>22</v>
      </c>
    </row>
    <row r="7">
      <c r="A7" s="5" t="inlineStr">
        <is>
          <t>sensiBel SBM100B Optical MEMS Mic (-26dB</t>
        </is>
      </c>
      <c r="B7" s="6" t="n">
        <v>80</v>
      </c>
      <c r="C7" s="19" t="n">
        <v>0.1068547309932147</v>
      </c>
      <c r="D7" s="6" t="n">
        <v>16</v>
      </c>
      <c r="E7" s="6" t="n">
        <v>16</v>
      </c>
    </row>
    <row r="8">
      <c r="A8" s="5" t="inlineStr">
        <is>
          <t>Hailo-10H AI Accelerator - 40 TOPS INT4,</t>
        </is>
      </c>
      <c r="B8" s="6" t="n">
        <v>75</v>
      </c>
      <c r="C8" s="19" t="n">
        <v>0.1001763103061388</v>
      </c>
      <c r="D8" s="6" t="n">
        <v>15</v>
      </c>
      <c r="E8" s="6" t="n">
        <v>15</v>
      </c>
    </row>
    <row r="9">
      <c r="A9" s="5" t="inlineStr">
        <is>
          <t xml:space="preserve">Sony IMX989 1" 50.3MP - Flagship Hidden </t>
        </is>
      </c>
      <c r="B9" s="6" t="n">
        <v>75</v>
      </c>
      <c r="C9" s="19" t="n">
        <v>0.1001763103061388</v>
      </c>
      <c r="D9" s="6" t="n">
        <v>15</v>
      </c>
      <c r="E9" s="6" t="n">
        <v>15</v>
      </c>
    </row>
    <row r="10">
      <c r="A10" s="5" t="inlineStr">
        <is>
          <t>XMOS XVF3800 Voice Processor - AEC/Beamf</t>
        </is>
      </c>
      <c r="B10" s="6" t="n">
        <v>75</v>
      </c>
      <c r="C10" s="19" t="n">
        <v>0.1001763103061388</v>
      </c>
      <c r="D10" s="6" t="n">
        <v>15</v>
      </c>
      <c r="E10" s="6" t="n">
        <v>15</v>
      </c>
    </row>
    <row r="11">
      <c r="A11" s="5" t="inlineStr">
        <is>
          <t>3.4" Round AMOLED 800x800 - Living Eye I</t>
        </is>
      </c>
      <c r="B11" s="6" t="n">
        <v>65</v>
      </c>
      <c r="C11" s="19" t="n">
        <v>0.08681946893198697</v>
      </c>
      <c r="D11" s="6" t="n">
        <v>13</v>
      </c>
      <c r="E11" s="6" t="n">
        <v>13</v>
      </c>
    </row>
    <row r="12">
      <c r="A12" s="5" t="inlineStr">
        <is>
          <t>Dielectric Mirror Film 90mm - Touch Thro</t>
        </is>
      </c>
      <c r="B12" s="6" t="n">
        <v>35</v>
      </c>
      <c r="C12" s="19" t="n">
        <v>0.04674894480953144</v>
      </c>
      <c r="D12" s="6" t="n">
        <v>7</v>
      </c>
      <c r="E12" s="6" t="n">
        <v>7</v>
      </c>
    </row>
    <row r="13">
      <c r="A13" s="5" t="inlineStr">
        <is>
          <t>Daikin Optool DSX-E Anti-fingerprint</t>
        </is>
      </c>
      <c r="B13" s="6" t="n">
        <v>35</v>
      </c>
      <c r="C13" s="19" t="n">
        <v>0.04674894480953144</v>
      </c>
      <c r="D13" s="6" t="n">
        <v>7</v>
      </c>
      <c r="E13" s="6" t="n">
        <v>7</v>
      </c>
    </row>
    <row r="14">
      <c r="A14" s="5" t="inlineStr">
        <is>
          <t>Sensirion SEN66 All-in-one Air Quality</t>
        </is>
      </c>
      <c r="B14" s="6" t="n">
        <v>35</v>
      </c>
      <c r="C14" s="19" t="n">
        <v>0.04674894480953144</v>
      </c>
      <c r="D14" s="6" t="n">
        <v>7</v>
      </c>
      <c r="E14" s="6" t="n">
        <v>7</v>
      </c>
    </row>
    <row r="15">
      <c r="A15" s="5" t="inlineStr">
        <is>
          <t>HCNT Magnetic Levitation Module (2kg)</t>
        </is>
      </c>
      <c r="B15" s="6" t="n">
        <v>30</v>
      </c>
      <c r="C15" s="19" t="n">
        <v>0.04007052412245552</v>
      </c>
      <c r="D15" s="6" t="n">
        <v>6</v>
      </c>
      <c r="E15" s="6" t="n">
        <v>6</v>
      </c>
    </row>
    <row r="18">
      <c r="A18" s="10" t="inlineStr">
        <is>
          <t>BREAK-EVEN ANALYSIS</t>
        </is>
      </c>
    </row>
    <row r="19">
      <c r="A19" t="inlineStr">
        <is>
          <t>Target retail price:</t>
        </is>
      </c>
      <c r="B19" s="20" t="n">
        <v>999</v>
      </c>
    </row>
    <row r="20">
      <c r="A20" t="inlineStr">
        <is>
          <t>Target margin:</t>
        </is>
      </c>
      <c r="B20" s="21" t="n">
        <v>0.4</v>
      </c>
    </row>
    <row r="21">
      <c r="A21" t="inlineStr">
        <is>
          <t>Max BOM cost:</t>
        </is>
      </c>
      <c r="B21" s="11">
        <f>B19*(1-B20)</f>
        <v/>
      </c>
    </row>
    <row r="22">
      <c r="A22" t="inlineStr">
        <is>
          <t>Current BOM (Qty 500):</t>
        </is>
      </c>
      <c r="B22" s="20" t="n">
        <v>618.5199999999999</v>
      </c>
    </row>
    <row r="23">
      <c r="A23" t="inlineStr">
        <is>
          <t>Gap to target:</t>
        </is>
      </c>
      <c r="B23" s="20">
        <f>B21-B22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22" t="inlineStr">
        <is>
          <t>KAGAMI ORB V3 - EXECUTIVE SUMMARY</t>
        </is>
      </c>
    </row>
    <row r="3">
      <c r="A3" s="23" t="inlineStr">
        <is>
          <t>Project Status: READY FOR PROTOTYPE</t>
        </is>
      </c>
    </row>
    <row r="5">
      <c r="A5" s="13" t="inlineStr">
        <is>
          <t>KEY METRICS</t>
        </is>
      </c>
    </row>
    <row r="6">
      <c r="A6" t="inlineStr">
        <is>
          <t>Total Components:</t>
        </is>
      </c>
      <c r="B6" t="n">
        <v>26</v>
      </c>
    </row>
    <row r="7">
      <c r="A7" t="inlineStr">
        <is>
          <t>Unique Part Numbers:</t>
        </is>
      </c>
      <c r="B7" t="n">
        <v>26</v>
      </c>
    </row>
    <row r="8">
      <c r="A8" t="inlineStr">
        <is>
          <t>Critical Items (HIGH):</t>
        </is>
      </c>
      <c r="B8" t="n">
        <v>11</v>
      </c>
    </row>
    <row r="9">
      <c r="A9" t="inlineStr">
        <is>
          <t>FMEA Items &gt; 100 RPN:</t>
        </is>
      </c>
      <c r="B9" t="n">
        <v>8</v>
      </c>
    </row>
    <row r="10">
      <c r="A10" t="inlineStr"/>
      <c r="B10" t="inlineStr"/>
    </row>
    <row r="11">
      <c r="A11" t="inlineStr">
        <is>
          <t>BOM Cost (Qty 1):</t>
        </is>
      </c>
      <c r="B11" s="20" t="n">
        <v>1027.21</v>
      </c>
    </row>
    <row r="12">
      <c r="A12" t="inlineStr">
        <is>
          <t>BOM Cost (Qty 100):</t>
        </is>
      </c>
      <c r="B12" s="20" t="n">
        <v>748.6799999999999</v>
      </c>
    </row>
    <row r="13">
      <c r="A13" t="inlineStr">
        <is>
          <t>BOM Cost (Qty 500):</t>
        </is>
      </c>
      <c r="B13" s="20" t="n">
        <v>618.5199999999999</v>
      </c>
    </row>
    <row r="14">
      <c r="A14" t="inlineStr">
        <is>
          <t>BOM Cost (Qty 1000):</t>
        </is>
      </c>
      <c r="B14" s="20" t="n">
        <v>525.53</v>
      </c>
    </row>
    <row r="15">
      <c r="A15" t="inlineStr"/>
      <c r="B15" t="inlineStr"/>
    </row>
    <row r="16">
      <c r="A16" t="inlineStr">
        <is>
          <t>Target Retail Price:</t>
        </is>
      </c>
      <c r="B16" s="20" t="n">
        <v>999</v>
      </c>
    </row>
    <row r="17">
      <c r="A17" t="inlineStr">
        <is>
          <t>Required Margin:</t>
        </is>
      </c>
      <c r="B17" t="inlineStr">
        <is>
          <t>40%</t>
        </is>
      </c>
    </row>
    <row r="18">
      <c r="A18" t="inlineStr">
        <is>
          <t>Max Allowable BOM:</t>
        </is>
      </c>
      <c r="B18" s="20" t="n">
        <v>599</v>
      </c>
    </row>
    <row r="20">
      <c r="A20" s="13" t="inlineStr">
        <is>
          <t>TOP RISKS</t>
        </is>
      </c>
    </row>
    <row r="21">
      <c r="A21" t="inlineStr">
        <is>
          <t>1. sensiBel SBM100B: Single source supplier unavailable</t>
        </is>
      </c>
      <c r="B21" s="17" t="inlineStr">
        <is>
          <t>RPN 224</t>
        </is>
      </c>
    </row>
    <row r="22">
      <c r="A22" t="inlineStr">
        <is>
          <t>2. Sony IMX989: Flagship sensor allocation</t>
        </is>
      </c>
      <c r="B22" t="inlineStr">
        <is>
          <t>RPN 175</t>
        </is>
      </c>
    </row>
    <row r="23">
      <c r="A23" t="inlineStr">
        <is>
          <t>3. Round AMOLED: Transparency insufficient for camera</t>
        </is>
      </c>
      <c r="B23" t="inlineStr">
        <is>
          <t>RPN 160</t>
        </is>
      </c>
    </row>
    <row r="24">
      <c r="A24" t="inlineStr">
        <is>
          <t>4. Battery 3S: Thermal runaway in sealed sphere</t>
        </is>
      </c>
      <c r="B24" t="inlineStr">
        <is>
          <t>RPN 144</t>
        </is>
      </c>
    </row>
    <row r="25">
      <c r="A25" t="inlineStr">
        <is>
          <t>5. Battery 3S: Swelling in sealed enclosure</t>
        </is>
      </c>
      <c r="B25" t="inlineStr">
        <is>
          <t>RPN 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2026-01-11T22:44:22Z</dcterms:created>
  <dcterms:modified xmlns:dcterms="http://purl.org/dc/terms/" xmlns:xsi="http://www.w3.org/2001/XMLSchema-instance" xsi:type="dcterms:W3CDTF">2026-01-11T22:44:22Z</dcterms:modified>
</cp:coreProperties>
</file>