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ve Landscape" sheetId="1" state="visible" r:id="rId1"/>
    <sheet xmlns:r="http://schemas.openxmlformats.org/officeDocument/2006/relationships" name="COGS Breakdown" sheetId="2" state="visible" r:id="rId2"/>
    <sheet xmlns:r="http://schemas.openxmlformats.org/officeDocument/2006/relationships" name="Unit Economics" sheetId="3" state="visible" r:id="rId3"/>
    <sheet xmlns:r="http://schemas.openxmlformats.org/officeDocument/2006/relationships" name="Pricing Scenarios" sheetId="4" state="visible" r:id="rId4"/>
    <sheet xmlns:r="http://schemas.openxmlformats.org/officeDocument/2006/relationships" name="Break-Even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(#,##0.00);_(&quot;$&quot;* &quot;-&quot;??_);_(@_)"/>
    <numFmt numFmtId="165" formatCode="0.0%"/>
    <numFmt numFmtId="166" formatCode="$#,##0.000000"/>
    <numFmt numFmtId="167" formatCode="$#,##0.0000000"/>
    <numFmt numFmtId="168" formatCode="0.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EEAF6"/>
        <bgColor rgb="00DEEAF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5" fontId="0" fillId="0" borderId="1" pivotButton="0" quotePrefix="0" xfId="0"/>
    <xf numFmtId="0" fontId="4" fillId="0" borderId="0" pivotButton="0" quotePrefix="0" xfId="0"/>
    <xf numFmtId="3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4" fillId="4" borderId="0" pivotButton="0" quotePrefix="0" xfId="0"/>
    <xf numFmtId="168" fontId="0" fillId="0" borderId="1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27" customWidth="1" min="3" max="3"/>
    <col width="16" customWidth="1" min="4" max="4"/>
    <col width="34" customWidth="1" min="5" max="5"/>
    <col width="17" customWidth="1" min="6" max="6"/>
  </cols>
  <sheetData>
    <row r="1">
      <c r="A1" s="1" t="inlineStr">
        <is>
          <t>KAGAMI COMPETITIVE PRICING ANALYSIS</t>
        </is>
      </c>
    </row>
    <row r="2"/>
    <row r="3">
      <c r="A3" s="2" t="inlineStr">
        <is>
          <t>Competitor</t>
        </is>
      </c>
      <c r="B3" s="2" t="inlineStr">
        <is>
          <t>Monthly Price</t>
        </is>
      </c>
      <c r="C3" s="2" t="inlineStr">
        <is>
          <t>Annual Price</t>
        </is>
      </c>
      <c r="D3" s="2" t="inlineStr">
        <is>
          <t>Annual Savings</t>
        </is>
      </c>
      <c r="E3" s="2" t="inlineStr">
        <is>
          <t>Key Features</t>
        </is>
      </c>
      <c r="F3" s="2" t="inlineStr">
        <is>
          <t>Market Position</t>
        </is>
      </c>
    </row>
    <row r="4">
      <c r="A4" s="3" t="inlineStr">
        <is>
          <t>ChatGPT Plus</t>
        </is>
      </c>
      <c r="B4" s="4" t="n">
        <v>20</v>
      </c>
      <c r="C4" s="4" t="n">
        <v>200</v>
      </c>
      <c r="D4" s="4">
        <f>$B4*12-$C4</f>
        <v/>
      </c>
      <c r="E4" s="3" t="inlineStr">
        <is>
          <t>AI chat, GPT-4, DALL-E</t>
        </is>
      </c>
      <c r="F4" s="3" t="inlineStr">
        <is>
          <t>Mass market AI</t>
        </is>
      </c>
    </row>
    <row r="5">
      <c r="A5" s="3" t="inlineStr">
        <is>
          <t>Claude Pro</t>
        </is>
      </c>
      <c r="B5" s="4" t="n">
        <v>20</v>
      </c>
      <c r="C5" s="4" t="n">
        <v>200</v>
      </c>
      <c r="D5" s="4">
        <f>$B5*12-$C5</f>
        <v/>
      </c>
      <c r="E5" s="3" t="inlineStr">
        <is>
          <t>AI chat, 200K context, artifacts</t>
        </is>
      </c>
      <c r="F5" s="3" t="inlineStr">
        <is>
          <t>Mass market AI</t>
        </is>
      </c>
    </row>
    <row r="6">
      <c r="A6" s="3" t="inlineStr">
        <is>
          <t>Claude Max (5x)</t>
        </is>
      </c>
      <c r="B6" s="4" t="n">
        <v>100</v>
      </c>
      <c r="C6" s="3" t="inlineStr">
        <is>
          <t>N/A</t>
        </is>
      </c>
      <c r="D6" s="3" t="inlineStr">
        <is>
          <t>N/A</t>
        </is>
      </c>
      <c r="E6" s="3" t="inlineStr">
        <is>
          <t>5x usage limits</t>
        </is>
      </c>
      <c r="F6" s="3" t="inlineStr">
        <is>
          <t>Power users</t>
        </is>
      </c>
    </row>
    <row r="7">
      <c r="A7" s="3" t="inlineStr">
        <is>
          <t>Claude Max (20x)</t>
        </is>
      </c>
      <c r="B7" s="4" t="n">
        <v>200</v>
      </c>
      <c r="C7" s="3" t="inlineStr">
        <is>
          <t>N/A</t>
        </is>
      </c>
      <c r="D7" s="3" t="inlineStr">
        <is>
          <t>N/A</t>
        </is>
      </c>
      <c r="E7" s="3" t="inlineStr">
        <is>
          <t>20x usage limits</t>
        </is>
      </c>
      <c r="F7" s="3" t="inlineStr">
        <is>
          <t>Heavy users</t>
        </is>
      </c>
    </row>
    <row r="8">
      <c r="A8" s="3" t="inlineStr">
        <is>
          <t>Google Home Premium Std</t>
        </is>
      </c>
      <c r="B8" s="4" t="n">
        <v>10</v>
      </c>
      <c r="C8" s="4" t="n">
        <v>100</v>
      </c>
      <c r="D8" s="4">
        <f>$B8*12-$C8</f>
        <v/>
      </c>
      <c r="E8" s="3" t="inlineStr">
        <is>
          <t>Gemini, 30d video, smart home</t>
        </is>
      </c>
      <c r="F8" s="3" t="inlineStr">
        <is>
          <t>Smart home</t>
        </is>
      </c>
    </row>
    <row r="9">
      <c r="A9" s="3" t="inlineStr">
        <is>
          <t>Google Home Premium Adv</t>
        </is>
      </c>
      <c r="B9" s="4" t="n">
        <v>20</v>
      </c>
      <c r="C9" s="4" t="n">
        <v>200</v>
      </c>
      <c r="D9" s="4">
        <f>$B9*12-$C9</f>
        <v/>
      </c>
      <c r="E9" s="3" t="inlineStr">
        <is>
          <t>AI cameras, Ask Home, search</t>
        </is>
      </c>
      <c r="F9" s="3" t="inlineStr">
        <is>
          <t>Smart home+</t>
        </is>
      </c>
    </row>
    <row r="10">
      <c r="A10" s="3" t="inlineStr">
        <is>
          <t>Amazon Alexa+</t>
        </is>
      </c>
      <c r="B10" s="4" t="n">
        <v>19.99</v>
      </c>
      <c r="C10" s="3" t="inlineStr">
        <is>
          <t>N/A</t>
        </is>
      </c>
      <c r="D10" s="3" t="inlineStr">
        <is>
          <t>Free w/Prime</t>
        </is>
      </c>
      <c r="E10" s="3" t="inlineStr">
        <is>
          <t>AI assistant, smart home</t>
        </is>
      </c>
      <c r="F10" s="3" t="inlineStr">
        <is>
          <t>Ecosystem</t>
        </is>
      </c>
    </row>
    <row r="11">
      <c r="A11" s="5" t="inlineStr">
        <is>
          <t>KAGAMI Personal</t>
        </is>
      </c>
      <c r="B11" s="6" t="n">
        <v>9</v>
      </c>
      <c r="C11" s="6" t="n">
        <v>90</v>
      </c>
      <c r="D11" s="6">
        <f>$B11*12-$C11</f>
        <v/>
      </c>
      <c r="E11" s="5" t="inlineStr">
        <is>
          <t>AI + smart home + voice</t>
        </is>
      </c>
      <c r="F11" s="5" t="inlineStr">
        <is>
          <t>Value leader</t>
        </is>
      </c>
    </row>
    <row r="12">
      <c r="A12" s="5" t="inlineStr">
        <is>
          <t>KAGAMI Family</t>
        </is>
      </c>
      <c r="B12" s="6" t="n">
        <v>19</v>
      </c>
      <c r="C12" s="6" t="n">
        <v>190</v>
      </c>
      <c r="D12" s="6">
        <f>$B12*12-$C12</f>
        <v/>
      </c>
      <c r="E12" s="5" t="inlineStr">
        <is>
          <t>6 members, parental controls</t>
        </is>
      </c>
      <c r="F12" s="5" t="inlineStr">
        <is>
          <t>Family value</t>
        </is>
      </c>
    </row>
    <row r="13">
      <c r="A13" s="5" t="inlineStr">
        <is>
          <t>KAGAMI Power</t>
        </is>
      </c>
      <c r="B13" s="6" t="n">
        <v>29</v>
      </c>
      <c r="C13" s="6" t="n">
        <v>290</v>
      </c>
      <c r="D13" s="6">
        <f>$B13*12-$C13</f>
        <v/>
      </c>
      <c r="E13" s="5" t="inlineStr">
        <is>
          <t>Unlimited + API + SLA</t>
        </is>
      </c>
      <c r="F13" s="5" t="inlineStr">
        <is>
          <t>Power users</t>
        </is>
      </c>
    </row>
    <row r="14"/>
    <row r="15"/>
    <row r="16">
      <c r="A16" s="7" t="inlineStr">
        <is>
          <t>PRICE COMPARISON VS COMPETITORS</t>
        </is>
      </c>
    </row>
    <row r="17"/>
    <row r="18">
      <c r="A18" s="2" t="inlineStr">
        <is>
          <t>Metric</t>
        </is>
      </c>
      <c r="B18" s="2" t="inlineStr">
        <is>
          <t>Value</t>
        </is>
      </c>
      <c r="C18" s="2" t="inlineStr">
        <is>
          <t>Notes</t>
        </is>
      </c>
    </row>
    <row r="19">
      <c r="A19" s="3" t="inlineStr">
        <is>
          <t>Kagami vs ChatGPT (Personal)</t>
        </is>
      </c>
      <c r="B19" s="8">
        <f>B11/B4-1</f>
        <v/>
      </c>
      <c r="C19" s="3" t="inlineStr">
        <is>
          <t>55% cheaper</t>
        </is>
      </c>
    </row>
    <row r="20">
      <c r="A20" s="3" t="inlineStr">
        <is>
          <t>Kagami vs Claude Pro (Personal)</t>
        </is>
      </c>
      <c r="B20" s="8">
        <f>B11/B5-1</f>
        <v/>
      </c>
      <c r="C20" s="3" t="inlineStr">
        <is>
          <t>55% cheaper</t>
        </is>
      </c>
    </row>
    <row r="21">
      <c r="A21" s="3" t="inlineStr">
        <is>
          <t>Kagami vs Google Home Std</t>
        </is>
      </c>
      <c r="B21" s="8">
        <f>B11/B8-1</f>
        <v/>
      </c>
      <c r="C21" s="3" t="inlineStr">
        <is>
          <t>10% cheaper</t>
        </is>
      </c>
    </row>
    <row r="22">
      <c r="A22" s="3" t="inlineStr">
        <is>
          <t>Kagami Family vs Google Adv</t>
        </is>
      </c>
      <c r="B22" s="8">
        <f>B12/B9-1</f>
        <v/>
      </c>
      <c r="C22" s="3" t="inlineStr">
        <is>
          <t>5% cheaper with 6 members</t>
        </is>
      </c>
    </row>
    <row r="23">
      <c r="A23" s="3" t="inlineStr">
        <is>
          <t>Kagami Power vs Claude Max 5x</t>
        </is>
      </c>
      <c r="B23" s="8">
        <f>B13/B6-1</f>
        <v/>
      </c>
      <c r="C23" s="3" t="inlineStr">
        <is>
          <t>71% cheaper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6" customWidth="1" min="3" max="3"/>
    <col width="20" customWidth="1" min="4" max="4"/>
    <col width="25" customWidth="1" min="5" max="5"/>
  </cols>
  <sheetData>
    <row r="1">
      <c r="A1" s="1" t="inlineStr">
        <is>
          <t>COST OF GOODS SOLD (COGS) ANALYSIS</t>
        </is>
      </c>
    </row>
    <row r="2"/>
    <row r="3">
      <c r="A3" s="9" t="inlineStr">
        <is>
          <t>AI API COSTS (per operation)</t>
        </is>
      </c>
    </row>
    <row r="4"/>
    <row r="5">
      <c r="A5" s="2" t="inlineStr">
        <is>
          <t>Component</t>
        </is>
      </c>
      <c r="B5" s="2" t="inlineStr">
        <is>
          <t>Tokens</t>
        </is>
      </c>
      <c r="C5" s="2" t="inlineStr">
        <is>
          <t>Price/M tokens</t>
        </is>
      </c>
      <c r="D5" s="2" t="inlineStr">
        <is>
          <t>Cost/Op</t>
        </is>
      </c>
      <c r="E5" s="2" t="inlineStr">
        <is>
          <t>Notes</t>
        </is>
      </c>
    </row>
    <row r="6">
      <c r="A6" s="3" t="inlineStr">
        <is>
          <t>Input tokens (Claude Sonnet)</t>
        </is>
      </c>
      <c r="B6" s="10" t="n">
        <v>500</v>
      </c>
      <c r="C6" s="4" t="n">
        <v>3</v>
      </c>
      <c r="D6" s="11">
        <f>B6*C6/1000000</f>
        <v/>
      </c>
      <c r="E6" s="3" t="inlineStr">
        <is>
          <t>Average request</t>
        </is>
      </c>
    </row>
    <row r="7">
      <c r="A7" s="3" t="inlineStr">
        <is>
          <t>Output tokens (Claude Sonnet)</t>
        </is>
      </c>
      <c r="B7" s="10" t="n">
        <v>500</v>
      </c>
      <c r="C7" s="4" t="n">
        <v>15</v>
      </c>
      <c r="D7" s="11">
        <f>B7*C7/1000000</f>
        <v/>
      </c>
      <c r="E7" s="3" t="inlineStr">
        <is>
          <t>Average response</t>
        </is>
      </c>
    </row>
    <row r="8">
      <c r="A8" s="3" t="inlineStr">
        <is>
          <t>Total per AI operation</t>
        </is>
      </c>
      <c r="B8" s="3" t="n"/>
      <c r="C8" s="3" t="n"/>
      <c r="D8" s="11">
        <f>D6+D7</f>
        <v/>
      </c>
      <c r="E8" s="3" t="inlineStr">
        <is>
          <t>Without caching</t>
        </is>
      </c>
    </row>
    <row r="9">
      <c r="A9" s="3" t="inlineStr">
        <is>
          <t>With 90% cache hit rate</t>
        </is>
      </c>
      <c r="B9" s="3" t="n"/>
      <c r="C9" s="3" t="n"/>
      <c r="D9" s="11">
        <f>D8*0.1+D8*0.9*0.1</f>
        <v/>
      </c>
      <c r="E9" s="3" t="inlineStr">
        <is>
          <t>Cached input is 90% off</t>
        </is>
      </c>
    </row>
    <row r="10"/>
    <row r="11"/>
    <row r="12">
      <c r="A12" s="9" t="inlineStr">
        <is>
          <t>INFRASTRUCTURE COSTS (Cloud Run, per operation)</t>
        </is>
      </c>
    </row>
    <row r="13"/>
    <row r="14">
      <c r="A14" s="2" t="inlineStr">
        <is>
          <t>Component</t>
        </is>
      </c>
      <c r="B14" s="2" t="inlineStr">
        <is>
          <t>Usage</t>
        </is>
      </c>
      <c r="C14" s="2" t="inlineStr">
        <is>
          <t>Unit</t>
        </is>
      </c>
      <c r="D14" s="2" t="inlineStr">
        <is>
          <t>Rate</t>
        </is>
      </c>
      <c r="E14" s="2" t="inlineStr">
        <is>
          <t>Cost/Op</t>
        </is>
      </c>
    </row>
    <row r="15">
      <c r="A15" s="3" t="inlineStr">
        <is>
          <t>CPU</t>
        </is>
      </c>
      <c r="B15" s="3" t="n">
        <v>0.5</v>
      </c>
      <c r="C15" s="3" t="inlineStr">
        <is>
          <t>vCPU-sec</t>
        </is>
      </c>
      <c r="D15" s="12" t="n">
        <v>2.4e-05</v>
      </c>
      <c r="E15" s="12">
        <f>B15*D15</f>
        <v/>
      </c>
    </row>
    <row r="16">
      <c r="A16" s="3" t="inlineStr">
        <is>
          <t>Memory</t>
        </is>
      </c>
      <c r="B16" s="3" t="n">
        <v>0.5</v>
      </c>
      <c r="C16" s="3" t="inlineStr">
        <is>
          <t>GiB-sec</t>
        </is>
      </c>
      <c r="D16" s="12" t="n">
        <v>2.5e-06</v>
      </c>
      <c r="E16" s="12">
        <f>B16*D16</f>
        <v/>
      </c>
    </row>
    <row r="17">
      <c r="A17" s="3" t="inlineStr">
        <is>
          <t>Request</t>
        </is>
      </c>
      <c r="B17" s="3" t="n">
        <v>1</v>
      </c>
      <c r="C17" s="3" t="inlineStr">
        <is>
          <t>request</t>
        </is>
      </c>
      <c r="D17" s="12" t="n">
        <v>4e-07</v>
      </c>
      <c r="E17" s="12">
        <f>B17*D17</f>
        <v/>
      </c>
    </row>
    <row r="18">
      <c r="A18" s="3" t="inlineStr">
        <is>
          <t>Network egress</t>
        </is>
      </c>
      <c r="B18" s="3" t="n">
        <v>0.001</v>
      </c>
      <c r="C18" s="3" t="inlineStr">
        <is>
          <t>GB</t>
        </is>
      </c>
      <c r="D18" s="12" t="n">
        <v>0.12</v>
      </c>
      <c r="E18" s="12">
        <f>B18*D18</f>
        <v/>
      </c>
    </row>
    <row r="19">
      <c r="A19" s="3" t="inlineStr">
        <is>
          <t>Total Infrastructure/Op</t>
        </is>
      </c>
      <c r="B19" s="3" t="n"/>
      <c r="C19" s="3" t="inlineStr"/>
      <c r="D19" s="3" t="n"/>
      <c r="E19" s="12">
        <f>SUM(E15:E18)</f>
        <v/>
      </c>
    </row>
    <row r="20"/>
    <row r="21"/>
    <row r="22">
      <c r="A22" s="9" t="inlineStr">
        <is>
          <t>COGS SUMMARY</t>
        </is>
      </c>
    </row>
    <row r="23"/>
    <row r="24">
      <c r="A24" s="2" t="inlineStr">
        <is>
          <t>Scenario</t>
        </is>
      </c>
      <c r="B24" s="2" t="inlineStr">
        <is>
          <t>AI Cost/Op</t>
        </is>
      </c>
      <c r="C24" s="2" t="inlineStr">
        <is>
          <t>Infra Cost/Op</t>
        </is>
      </c>
      <c r="D24" s="2" t="inlineStr">
        <is>
          <t>Total/Op</t>
        </is>
      </c>
      <c r="E24" s="2" t="inlineStr">
        <is>
          <t>Per 1K Ops</t>
        </is>
      </c>
    </row>
    <row r="25">
      <c r="A25" s="3" t="inlineStr">
        <is>
          <t>100% AI operations (no cache)</t>
        </is>
      </c>
      <c r="B25" s="11">
        <f>D8</f>
        <v/>
      </c>
      <c r="C25" s="11">
        <f>E19</f>
        <v/>
      </c>
      <c r="D25" s="11">
        <f>B25+C25</f>
        <v/>
      </c>
      <c r="E25" s="4">
        <f>D25*1000</f>
        <v/>
      </c>
    </row>
    <row r="26">
      <c r="A26" s="3" t="inlineStr">
        <is>
          <t>100% AI operations (90% cache)</t>
        </is>
      </c>
      <c r="B26" s="11">
        <f>D9</f>
        <v/>
      </c>
      <c r="C26" s="11">
        <f>E19</f>
        <v/>
      </c>
      <c r="D26" s="11">
        <f>B26+C26</f>
        <v/>
      </c>
      <c r="E26" s="4">
        <f>D26*1000</f>
        <v/>
      </c>
    </row>
    <row r="27">
      <c r="A27" s="3" t="inlineStr">
        <is>
          <t>30% AI / 70% lightweight</t>
        </is>
      </c>
      <c r="B27" s="11">
        <f>D9*0.3</f>
        <v/>
      </c>
      <c r="C27" s="11">
        <f>E19</f>
        <v/>
      </c>
      <c r="D27" s="11">
        <f>B27+C27</f>
        <v/>
      </c>
      <c r="E27" s="4">
        <f>D27*1000</f>
        <v/>
      </c>
    </row>
    <row r="28">
      <c r="A28" s="3" t="inlineStr">
        <is>
          <t>10% AI / 90% lightweight</t>
        </is>
      </c>
      <c r="B28" s="11">
        <f>D9*0.1</f>
        <v/>
      </c>
      <c r="C28" s="11">
        <f>E19</f>
        <v/>
      </c>
      <c r="D28" s="11">
        <f>B28+C28</f>
        <v/>
      </c>
      <c r="E28" s="4">
        <f>D28*1000</f>
        <v/>
      </c>
    </row>
    <row r="29"/>
    <row r="30"/>
    <row r="31">
      <c r="A31" s="9" t="inlineStr">
        <is>
          <t>KEY ASSUMPTIONS</t>
        </is>
      </c>
    </row>
    <row r="32">
      <c r="A32" t="inlineStr">
        <is>
          <t>• Average tokens per operation: 500 input + 500 output</t>
        </is>
      </c>
    </row>
    <row r="33">
      <c r="A33" t="inlineStr">
        <is>
          <t>• Cache hit rate: 90% (via Anthropic prompt caching)</t>
        </is>
      </c>
    </row>
    <row r="34">
      <c r="A34" t="inlineStr">
        <is>
          <t>• Lightweight ops: smart home commands, queries (no AI)</t>
        </is>
      </c>
    </row>
    <row r="35">
      <c r="A35" t="inlineStr">
        <is>
          <t>• Cloud Run: us-central1, CPU allocated during request</t>
        </is>
      </c>
    </row>
    <row r="36">
      <c r="A36" t="inlineStr">
        <is>
          <t>• Request duration: 500ms 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6" customWidth="1" min="3" max="3"/>
    <col width="12" customWidth="1" min="4" max="4"/>
    <col width="10" customWidth="1" min="5" max="5"/>
    <col width="17" customWidth="1" min="6" max="6"/>
    <col width="14" customWidth="1" min="7" max="7"/>
    <col width="14" customWidth="1" min="8" max="8"/>
    <col width="24" customWidth="1" min="9" max="9"/>
  </cols>
  <sheetData>
    <row r="1">
      <c r="A1" s="1" t="inlineStr">
        <is>
          <t>UNIT ECONOMICS PER SUBSCRIPTION TIER</t>
        </is>
      </c>
    </row>
    <row r="2"/>
    <row r="3">
      <c r="A3" s="9" t="inlineStr">
        <is>
          <t>ASSUMPTIONS (modify these to model scenarios)</t>
        </is>
      </c>
    </row>
    <row r="4"/>
    <row r="5">
      <c r="A5" s="2" t="inlineStr">
        <is>
          <t>Parameter</t>
        </is>
      </c>
      <c r="B5" s="2" t="inlineStr">
        <is>
          <t>Value</t>
        </is>
      </c>
      <c r="C5" s="2" t="inlineStr">
        <is>
          <t>Notes</t>
        </is>
      </c>
    </row>
    <row r="6">
      <c r="A6" s="3" t="inlineStr">
        <is>
          <t>AI operation ratio</t>
        </is>
      </c>
      <c r="B6" s="8" t="n">
        <v>0.3</v>
      </c>
      <c r="C6" s="3" t="inlineStr">
        <is>
          <t>% of ops requiring AI</t>
        </is>
      </c>
    </row>
    <row r="7">
      <c r="A7" s="3" t="inlineStr">
        <is>
          <t>Cache hit rate</t>
        </is>
      </c>
      <c r="B7" s="8" t="n">
        <v>0.9</v>
      </c>
      <c r="C7" s="3" t="inlineStr">
        <is>
          <t>Anthropic prompt caching</t>
        </is>
      </c>
    </row>
    <row r="8">
      <c r="A8" s="3" t="inlineStr">
        <is>
          <t>AI cost per op (cached)</t>
        </is>
      </c>
      <c r="B8" s="3">
        <f>'COGS Breakdown'!D9</f>
        <v/>
      </c>
      <c r="C8" s="3" t="inlineStr">
        <is>
          <t>From COGS sheet</t>
        </is>
      </c>
    </row>
    <row r="9">
      <c r="A9" s="3" t="inlineStr">
        <is>
          <t>Infra cost per op</t>
        </is>
      </c>
      <c r="B9" s="3">
        <f>'COGS Breakdown'!E19</f>
        <v/>
      </c>
      <c r="C9" s="3" t="inlineStr">
        <is>
          <t>From COGS sheet</t>
        </is>
      </c>
    </row>
    <row r="10">
      <c r="A10" s="3" t="inlineStr">
        <is>
          <t>Blended cost per op</t>
        </is>
      </c>
      <c r="B10" s="3">
        <f>B8*B6+(1-B6)*B9</f>
        <v/>
      </c>
      <c r="C10" s="3" t="inlineStr">
        <is>
          <t>Weighted average</t>
        </is>
      </c>
    </row>
    <row r="11">
      <c r="A11" s="3" t="inlineStr">
        <is>
          <t>Support cost per user/mo</t>
        </is>
      </c>
      <c r="B11" s="8" t="n">
        <v>0.5</v>
      </c>
      <c r="C11" s="3" t="inlineStr">
        <is>
          <t>Estimated</t>
        </is>
      </c>
    </row>
    <row r="12">
      <c r="A12" s="3" t="inlineStr">
        <is>
          <t>Payment processing</t>
        </is>
      </c>
      <c r="B12" s="8" t="n">
        <v>0.029</v>
      </c>
      <c r="C12" s="3" t="inlineStr">
        <is>
          <t>Stripe 2.9% + $0.30</t>
        </is>
      </c>
    </row>
    <row r="13"/>
    <row r="14"/>
    <row r="15">
      <c r="A15" s="9" t="inlineStr">
        <is>
          <t>TIER ECONOMICS</t>
        </is>
      </c>
    </row>
    <row r="16"/>
    <row r="17">
      <c r="A17" s="2" t="inlineStr">
        <is>
          <t>Tier</t>
        </is>
      </c>
      <c r="B17" s="2" t="inlineStr">
        <is>
          <t>Monthly Price</t>
        </is>
      </c>
      <c r="C17" s="2" t="inlineStr">
        <is>
          <t>Included Ops</t>
        </is>
      </c>
      <c r="D17" s="2" t="inlineStr">
        <is>
          <t>COGS (Ops)</t>
        </is>
      </c>
      <c r="E17" s="2" t="inlineStr">
        <is>
          <t>Support</t>
        </is>
      </c>
      <c r="F17" s="2" t="inlineStr">
        <is>
          <t>Payment Proc</t>
        </is>
      </c>
      <c r="G17" s="2" t="inlineStr">
        <is>
          <t>Total COGS</t>
        </is>
      </c>
      <c r="H17" s="2" t="inlineStr">
        <is>
          <t>Gross Margin</t>
        </is>
      </c>
      <c r="I17" s="2" t="inlineStr">
        <is>
          <t>Margin %</t>
        </is>
      </c>
    </row>
    <row r="18">
      <c r="A18" s="3" t="inlineStr">
        <is>
          <t>Free</t>
        </is>
      </c>
      <c r="B18" s="4" t="n">
        <v>0</v>
      </c>
      <c r="C18" s="10" t="n">
        <v>5000</v>
      </c>
      <c r="D18" s="4">
        <f>C18*$B$10</f>
        <v/>
      </c>
      <c r="E18" s="4">
        <f>$B$11</f>
        <v/>
      </c>
      <c r="F18" s="4">
        <f>0</f>
        <v/>
      </c>
      <c r="G18" s="4">
        <f>D18+E18+F18</f>
        <v/>
      </c>
      <c r="H18" s="4">
        <f>B18-G18</f>
        <v/>
      </c>
      <c r="I18" s="8">
        <f>IF(B18=0,"-",H18/B18)</f>
        <v/>
      </c>
    </row>
    <row r="19">
      <c r="A19" s="3" t="inlineStr">
        <is>
          <t>Personal</t>
        </is>
      </c>
      <c r="B19" s="4" t="n">
        <v>9</v>
      </c>
      <c r="C19" s="10" t="n">
        <v>50000</v>
      </c>
      <c r="D19" s="4">
        <f>C19*$B$10</f>
        <v/>
      </c>
      <c r="E19" s="4">
        <f>$B$11</f>
        <v/>
      </c>
      <c r="F19" s="4">
        <f>B19*$B$12+0.30</f>
        <v/>
      </c>
      <c r="G19" s="4">
        <f>D19+E19+F19</f>
        <v/>
      </c>
      <c r="H19" s="4">
        <f>B19-G19</f>
        <v/>
      </c>
      <c r="I19" s="8">
        <f>H19/B19</f>
        <v/>
      </c>
    </row>
    <row r="20">
      <c r="A20" s="3" t="inlineStr">
        <is>
          <t>Family</t>
        </is>
      </c>
      <c r="B20" s="4" t="n">
        <v>19</v>
      </c>
      <c r="C20" s="10" t="n">
        <v>200000</v>
      </c>
      <c r="D20" s="4">
        <f>C20*$B$10</f>
        <v/>
      </c>
      <c r="E20" s="4">
        <f>$B$11*2</f>
        <v/>
      </c>
      <c r="F20" s="4">
        <f>B20*$B$12+0.30</f>
        <v/>
      </c>
      <c r="G20" s="4">
        <f>D20+E20+F20</f>
        <v/>
      </c>
      <c r="H20" s="4">
        <f>B20-G20</f>
        <v/>
      </c>
      <c r="I20" s="8">
        <f>H20/B20</f>
        <v/>
      </c>
    </row>
    <row r="21">
      <c r="A21" s="3" t="inlineStr">
        <is>
          <t>Power (base)</t>
        </is>
      </c>
      <c r="B21" s="4" t="n">
        <v>29</v>
      </c>
      <c r="C21" s="10" t="n">
        <v>0</v>
      </c>
      <c r="D21" s="4">
        <f>C21*$B$10</f>
        <v/>
      </c>
      <c r="E21" s="4">
        <f>$B$11*2</f>
        <v/>
      </c>
      <c r="F21" s="4">
        <f>B21*$B$12+0.30</f>
        <v/>
      </c>
      <c r="G21" s="4">
        <f>D21+E21+F21</f>
        <v/>
      </c>
      <c r="H21" s="4">
        <f>B21-G21</f>
        <v/>
      </c>
      <c r="I21" s="8">
        <f>H21/B21</f>
        <v/>
      </c>
    </row>
    <row r="22"/>
    <row r="23"/>
    <row r="24">
      <c r="A24" s="9" t="inlineStr">
        <is>
          <t>OVERAGE ECONOMICS</t>
        </is>
      </c>
    </row>
    <row r="25"/>
    <row r="26">
      <c r="A26" s="2" t="inlineStr">
        <is>
          <t>Tier</t>
        </is>
      </c>
      <c r="B26" s="2" t="inlineStr">
        <is>
          <t>Overage Rate/1K</t>
        </is>
      </c>
      <c r="C26" s="2" t="inlineStr">
        <is>
          <t>COGS/1K</t>
        </is>
      </c>
      <c r="D26" s="2" t="inlineStr">
        <is>
          <t>Margin/1K</t>
        </is>
      </c>
      <c r="E26" s="2" t="inlineStr">
        <is>
          <t>Margin %</t>
        </is>
      </c>
    </row>
    <row r="27">
      <c r="A27" s="3" t="inlineStr">
        <is>
          <t>Personal</t>
        </is>
      </c>
      <c r="B27" s="4" t="n">
        <v>0.2</v>
      </c>
      <c r="C27" s="4">
        <f>$B$10*1000</f>
        <v/>
      </c>
      <c r="D27" s="4">
        <f>B27-C27</f>
        <v/>
      </c>
      <c r="E27" s="8">
        <f>D27/B27</f>
        <v/>
      </c>
    </row>
    <row r="28">
      <c r="A28" s="3" t="inlineStr">
        <is>
          <t>Family</t>
        </is>
      </c>
      <c r="B28" s="4" t="n">
        <v>0.15</v>
      </c>
      <c r="C28" s="4">
        <f>$B$10*1000</f>
        <v/>
      </c>
      <c r="D28" s="4">
        <f>B28-C28</f>
        <v/>
      </c>
      <c r="E28" s="8">
        <f>D28/B28</f>
        <v/>
      </c>
    </row>
    <row r="29">
      <c r="A29" s="3" t="inlineStr">
        <is>
          <t>Power</t>
        </is>
      </c>
      <c r="B29" s="4" t="n">
        <v>0.1</v>
      </c>
      <c r="C29" s="4">
        <f>$B$10*1000</f>
        <v/>
      </c>
      <c r="D29" s="4">
        <f>B29-C29</f>
        <v/>
      </c>
      <c r="E29" s="8">
        <f>D29/B29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4" customWidth="1" min="3" max="3"/>
    <col width="23" customWidth="1" min="4" max="4"/>
    <col width="50" customWidth="1" min="5" max="5"/>
    <col width="14" customWidth="1" min="6" max="6"/>
    <col width="24" customWidth="1" min="7" max="7"/>
  </cols>
  <sheetData>
    <row r="1">
      <c r="A1" s="1" t="inlineStr">
        <is>
          <t>PRICING SCENARIO ANALYSIS</t>
        </is>
      </c>
    </row>
    <row r="2"/>
    <row r="3">
      <c r="A3" s="9" t="inlineStr">
        <is>
          <t>SCENARIO A: Raise Prices to Match Competitors</t>
        </is>
      </c>
    </row>
    <row r="4"/>
    <row r="5">
      <c r="A5" s="2" t="inlineStr">
        <is>
          <t>Tier</t>
        </is>
      </c>
      <c r="B5" s="2" t="inlineStr">
        <is>
          <t>Current</t>
        </is>
      </c>
      <c r="C5" s="2" t="inlineStr">
        <is>
          <t>Proposed</t>
        </is>
      </c>
      <c r="D5" s="2" t="inlineStr">
        <is>
          <t>Change</t>
        </is>
      </c>
      <c r="E5" s="2" t="inlineStr">
        <is>
          <t>New Margin</t>
        </is>
      </c>
    </row>
    <row r="6">
      <c r="A6" s="3" t="inlineStr">
        <is>
          <t>Personal</t>
        </is>
      </c>
      <c r="B6" s="4" t="n">
        <v>9</v>
      </c>
      <c r="C6" s="4" t="n">
        <v>19</v>
      </c>
      <c r="D6" s="4">
        <f>C6-B6</f>
        <v/>
      </c>
      <c r="E6" s="4">
        <f>C6-'Unit Economics'!G19</f>
        <v/>
      </c>
    </row>
    <row r="7">
      <c r="A7" s="3" t="inlineStr">
        <is>
          <t>Family</t>
        </is>
      </c>
      <c r="B7" s="4" t="n">
        <v>19</v>
      </c>
      <c r="C7" s="4" t="n">
        <v>29</v>
      </c>
      <c r="D7" s="4">
        <f>C7-B7</f>
        <v/>
      </c>
      <c r="E7" s="4">
        <f>C7-'Unit Economics'!G20</f>
        <v/>
      </c>
    </row>
    <row r="8">
      <c r="A8" s="3" t="inlineStr">
        <is>
          <t>Power</t>
        </is>
      </c>
      <c r="B8" s="4" t="n">
        <v>29</v>
      </c>
      <c r="C8" s="4" t="n">
        <v>49</v>
      </c>
      <c r="D8" s="4">
        <f>C8-B8</f>
        <v/>
      </c>
      <c r="E8" s="4">
        <f>C8-'Unit Economics'!G21</f>
        <v/>
      </c>
    </row>
    <row r="9"/>
    <row r="10"/>
    <row r="11">
      <c r="A11" s="9" t="inlineStr">
        <is>
          <t>SCENARIO B: Reduce Included Operations</t>
        </is>
      </c>
    </row>
    <row r="12"/>
    <row r="13">
      <c r="A13" s="2" t="inlineStr">
        <is>
          <t>Tier</t>
        </is>
      </c>
      <c r="B13" s="2" t="inlineStr">
        <is>
          <t>Current Ops</t>
        </is>
      </c>
      <c r="C13" s="2" t="inlineStr">
        <is>
          <t>Proposed Ops</t>
        </is>
      </c>
      <c r="D13" s="2" t="inlineStr">
        <is>
          <t>Current COGS</t>
        </is>
      </c>
      <c r="E13" s="2" t="inlineStr">
        <is>
          <t>New COGS</t>
        </is>
      </c>
      <c r="F13" s="2" t="inlineStr">
        <is>
          <t>Savings</t>
        </is>
      </c>
    </row>
    <row r="14">
      <c r="A14" s="3" t="inlineStr">
        <is>
          <t>Personal</t>
        </is>
      </c>
      <c r="B14" s="10" t="n">
        <v>50000</v>
      </c>
      <c r="C14" s="10" t="n">
        <v>15000</v>
      </c>
      <c r="D14" s="4">
        <f>'Unit Economics'!D19</f>
        <v/>
      </c>
      <c r="E14" s="4">
        <f>C14*'Unit Economics'!$B$10</f>
        <v/>
      </c>
      <c r="F14" s="4">
        <f>D14-E14</f>
        <v/>
      </c>
    </row>
    <row r="15">
      <c r="A15" s="3" t="inlineStr">
        <is>
          <t>Family</t>
        </is>
      </c>
      <c r="B15" s="10" t="n">
        <v>200000</v>
      </c>
      <c r="C15" s="10" t="n">
        <v>50000</v>
      </c>
      <c r="D15" s="4">
        <f>'Unit Economics'!D20</f>
        <v/>
      </c>
      <c r="E15" s="4">
        <f>C15*'Unit Economics'!$B$10</f>
        <v/>
      </c>
      <c r="F15" s="4">
        <f>D15-E15</f>
        <v/>
      </c>
    </row>
    <row r="16"/>
    <row r="17"/>
    <row r="18">
      <c r="A18" s="13" t="inlineStr">
        <is>
          <t>SCENARIO C: RECOMMENDED HYBRID MODEL</t>
        </is>
      </c>
    </row>
    <row r="19"/>
    <row r="20">
      <c r="A20" s="2" t="inlineStr">
        <is>
          <t>Tier</t>
        </is>
      </c>
      <c r="B20" s="2" t="inlineStr">
        <is>
          <t>Price</t>
        </is>
      </c>
      <c r="C20" s="2" t="inlineStr">
        <is>
          <t>Ops Included</t>
        </is>
      </c>
      <c r="D20" s="2" t="inlineStr">
        <is>
          <t>AI Ratio</t>
        </is>
      </c>
      <c r="E20" s="2" t="inlineStr">
        <is>
          <t>Est. COGS</t>
        </is>
      </c>
      <c r="F20" s="2" t="inlineStr">
        <is>
          <t>Gross Margin</t>
        </is>
      </c>
      <c r="G20" s="2" t="inlineStr">
        <is>
          <t>Margin %</t>
        </is>
      </c>
    </row>
    <row r="21">
      <c r="A21" s="3" t="inlineStr">
        <is>
          <t>Free</t>
        </is>
      </c>
      <c r="B21" s="4" t="n">
        <v>0</v>
      </c>
      <c r="C21" s="10" t="n">
        <v>5000</v>
      </c>
      <c r="D21" s="8" t="n">
        <v>0.1</v>
      </c>
      <c r="E21" s="4">
        <f>C21*D21*'Unit Economics'!$B$8+C21*(1-D21)*'Unit Economics'!$B$9</f>
        <v/>
      </c>
      <c r="F21" s="4">
        <f>B21-E21</f>
        <v/>
      </c>
      <c r="G21" s="8">
        <f>IF(B21=0,"-",F21/B21)</f>
        <v/>
      </c>
    </row>
    <row r="22">
      <c r="A22" s="3" t="inlineStr">
        <is>
          <t>Personal</t>
        </is>
      </c>
      <c r="B22" s="4" t="n">
        <v>9</v>
      </c>
      <c r="C22" s="10" t="n">
        <v>25000</v>
      </c>
      <c r="D22" s="8" t="n">
        <v>0.25</v>
      </c>
      <c r="E22" s="4">
        <f>C22*D22*'Unit Economics'!$B$8+C22*(1-D22)*'Unit Economics'!$B$9</f>
        <v/>
      </c>
      <c r="F22" s="4">
        <f>B22-E22</f>
        <v/>
      </c>
      <c r="G22" s="8">
        <f>F22/B22</f>
        <v/>
      </c>
    </row>
    <row r="23">
      <c r="A23" s="3" t="inlineStr">
        <is>
          <t>Family</t>
        </is>
      </c>
      <c r="B23" s="4" t="n">
        <v>19</v>
      </c>
      <c r="C23" s="10" t="n">
        <v>75000</v>
      </c>
      <c r="D23" s="8" t="n">
        <v>0.3</v>
      </c>
      <c r="E23" s="4">
        <f>C23*D23*'Unit Economics'!$B$8+C23*(1-D23)*'Unit Economics'!$B$9</f>
        <v/>
      </c>
      <c r="F23" s="4">
        <f>B23-E23</f>
        <v/>
      </c>
      <c r="G23" s="8">
        <f>F23/B23</f>
        <v/>
      </c>
    </row>
    <row r="24">
      <c r="A24" s="3" t="inlineStr">
        <is>
          <t>Power</t>
        </is>
      </c>
      <c r="B24" s="4" t="n">
        <v>29</v>
      </c>
      <c r="C24" s="10" t="n">
        <v>0</v>
      </c>
      <c r="D24" s="8" t="n">
        <v>0</v>
      </c>
      <c r="E24" s="4">
        <f>0</f>
        <v/>
      </c>
      <c r="F24" s="4">
        <f>B24-E24</f>
        <v/>
      </c>
      <c r="G24" s="8">
        <f>F24/B24</f>
        <v/>
      </c>
    </row>
    <row r="25"/>
    <row r="26">
      <c r="A26" t="inlineStr">
        <is>
          <t>Recommended changes:</t>
        </is>
      </c>
    </row>
    <row r="27">
      <c r="A27" t="inlineStr">
        <is>
          <t>• Reduce Personal ops from 50K to 25K</t>
        </is>
      </c>
    </row>
    <row r="28">
      <c r="A28" t="inlineStr">
        <is>
          <t>• Reduce Family ops from 200K to 75K</t>
        </is>
      </c>
    </row>
    <row r="29">
      <c r="A29" t="inlineStr">
        <is>
          <t>• Free tier gets minimal AI (10% ratio)</t>
        </is>
      </c>
    </row>
    <row r="30">
      <c r="A30" t="inlineStr">
        <is>
          <t>• Power tier is pure usage-based (sustainable)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  <col width="23" customWidth="1" min="4" max="4"/>
    <col width="14" customWidth="1" min="5" max="5"/>
    <col width="25" customWidth="1" min="6" max="6"/>
    <col width="26" customWidth="1" min="7" max="7"/>
  </cols>
  <sheetData>
    <row r="1">
      <c r="A1" s="1" t="inlineStr">
        <is>
          <t>BREAK-EVEN ANALYSIS</t>
        </is>
      </c>
    </row>
    <row r="2"/>
    <row r="3">
      <c r="A3" s="9" t="inlineStr">
        <is>
          <t>CURRENT PRICING BREAK-EVEN</t>
        </is>
      </c>
    </row>
    <row r="4"/>
    <row r="5">
      <c r="A5" s="2" t="inlineStr">
        <is>
          <t>Tier</t>
        </is>
      </c>
      <c r="B5" s="2" t="inlineStr">
        <is>
          <t>Revenue</t>
        </is>
      </c>
      <c r="C5" s="2" t="inlineStr">
        <is>
          <t>COGS</t>
        </is>
      </c>
      <c r="D5" s="2" t="inlineStr">
        <is>
          <t>Shortfall</t>
        </is>
      </c>
      <c r="E5" s="2" t="inlineStr">
        <is>
          <t>Overage Rate</t>
        </is>
      </c>
      <c r="F5" s="2" t="inlineStr">
        <is>
          <t>Break-even Overage Ops</t>
        </is>
      </c>
      <c r="G5" s="2" t="inlineStr">
        <is>
          <t>Total Ops for Break-even</t>
        </is>
      </c>
    </row>
    <row r="6">
      <c r="A6" s="3" t="inlineStr">
        <is>
          <t>Free</t>
        </is>
      </c>
      <c r="B6" s="4">
        <f>'Unit Economics'!B18</f>
        <v/>
      </c>
      <c r="C6" s="4">
        <f>'Unit Economics'!G18</f>
        <v/>
      </c>
      <c r="D6" s="4">
        <f>'Unit Economics'!H18</f>
        <v/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</row>
    <row r="7">
      <c r="A7" s="3" t="inlineStr">
        <is>
          <t>Personal</t>
        </is>
      </c>
      <c r="B7" s="4">
        <f>'Unit Economics'!B19</f>
        <v/>
      </c>
      <c r="C7" s="4">
        <f>'Unit Economics'!G19</f>
        <v/>
      </c>
      <c r="D7" s="4">
        <f>'Unit Economics'!H19</f>
        <v/>
      </c>
      <c r="E7" s="4" t="n">
        <v>0.2</v>
      </c>
      <c r="F7" s="10">
        <f>IF(D7&lt;0,-D7/E7*1000,0)</f>
        <v/>
      </c>
      <c r="G7" s="10">
        <f>'Unit Economics'!C19+F7</f>
        <v/>
      </c>
    </row>
    <row r="8">
      <c r="A8" s="3" t="inlineStr">
        <is>
          <t>Family</t>
        </is>
      </c>
      <c r="B8" s="4">
        <f>'Unit Economics'!B20</f>
        <v/>
      </c>
      <c r="C8" s="4">
        <f>'Unit Economics'!G20</f>
        <v/>
      </c>
      <c r="D8" s="4">
        <f>'Unit Economics'!H20</f>
        <v/>
      </c>
      <c r="E8" s="4" t="n">
        <v>0.15</v>
      </c>
      <c r="F8" s="10">
        <f>IF(D8&lt;0,-D8/E8*1000,0)</f>
        <v/>
      </c>
      <c r="G8" s="10">
        <f>'Unit Economics'!C20+F8</f>
        <v/>
      </c>
    </row>
    <row r="9">
      <c r="A9" s="3" t="inlineStr">
        <is>
          <t>Power</t>
        </is>
      </c>
      <c r="B9" s="4">
        <f>'Unit Economics'!B21</f>
        <v/>
      </c>
      <c r="C9" s="4">
        <f>'Unit Economics'!G21</f>
        <v/>
      </c>
      <c r="D9" s="4">
        <f>'Unit Economics'!H21</f>
        <v/>
      </c>
      <c r="E9" s="4" t="n">
        <v>0.1</v>
      </c>
      <c r="F9" s="3" t="inlineStr">
        <is>
          <t>N/A (profitable)</t>
        </is>
      </c>
      <c r="G9" s="3" t="inlineStr">
        <is>
          <t>N/A</t>
        </is>
      </c>
    </row>
    <row r="10"/>
    <row r="11"/>
    <row r="12">
      <c r="A12" s="9" t="inlineStr">
        <is>
          <t>CUSTOMER LIFETIME VALUE (LTV) ANALYSIS</t>
        </is>
      </c>
    </row>
    <row r="13"/>
    <row r="14">
      <c r="A14" s="2" t="inlineStr">
        <is>
          <t>Metric</t>
        </is>
      </c>
      <c r="B14" s="2" t="inlineStr">
        <is>
          <t>Personal</t>
        </is>
      </c>
      <c r="C14" s="2" t="inlineStr">
        <is>
          <t>Family</t>
        </is>
      </c>
      <c r="D14" s="2" t="inlineStr">
        <is>
          <t>Power</t>
        </is>
      </c>
    </row>
    <row r="15">
      <c r="A15" s="3" t="inlineStr">
        <is>
          <t>Monthly Revenue</t>
        </is>
      </c>
      <c r="B15" s="4" t="n">
        <v>9</v>
      </c>
      <c r="C15" s="4" t="n">
        <v>19</v>
      </c>
      <c r="D15" s="4" t="n">
        <v>29</v>
      </c>
    </row>
    <row r="16">
      <c r="A16" s="3" t="inlineStr">
        <is>
          <t>Monthly COGS (est)</t>
        </is>
      </c>
      <c r="B16" s="4">
        <f>'Unit Economics'!G19</f>
        <v/>
      </c>
      <c r="C16" s="4">
        <f>'Unit Economics'!G20</f>
        <v/>
      </c>
      <c r="D16" s="4">
        <f>'Unit Economics'!G21</f>
        <v/>
      </c>
    </row>
    <row r="17">
      <c r="A17" s="3" t="inlineStr">
        <is>
          <t>Monthly Margin</t>
        </is>
      </c>
      <c r="B17" s="4">
        <f>B15-B16</f>
        <v/>
      </c>
      <c r="C17" s="4">
        <f>C15-C16</f>
        <v/>
      </c>
      <c r="D17" s="4">
        <f>D15-D16</f>
        <v/>
      </c>
    </row>
    <row r="18">
      <c r="A18" s="3" t="inlineStr">
        <is>
          <t>Churn Rate (assumed)</t>
        </is>
      </c>
      <c r="B18" s="8" t="n">
        <v>0.05</v>
      </c>
      <c r="C18" s="8" t="n">
        <v>0.03</v>
      </c>
      <c r="D18" s="8" t="n">
        <v>0.02</v>
      </c>
    </row>
    <row r="19">
      <c r="A19" s="3" t="inlineStr">
        <is>
          <t>Average Lifespan (mo)</t>
        </is>
      </c>
      <c r="B19" s="14">
        <f>1/B18</f>
        <v/>
      </c>
      <c r="C19" s="14">
        <f>1/C18</f>
        <v/>
      </c>
      <c r="D19" s="14">
        <f>1/D18</f>
        <v/>
      </c>
    </row>
    <row r="20">
      <c r="A20" s="3" t="inlineStr">
        <is>
          <t>LTV</t>
        </is>
      </c>
      <c r="B20" s="4">
        <f>B17*B19</f>
        <v/>
      </c>
      <c r="C20" s="4">
        <f>C17*C19</f>
        <v/>
      </c>
      <c r="D20" s="4">
        <f>D17*D19</f>
        <v/>
      </c>
    </row>
    <row r="21">
      <c r="A21" s="3" t="inlineStr">
        <is>
          <t>CAC Target (LTV/3)</t>
        </is>
      </c>
      <c r="B21" s="4">
        <f>B20/3</f>
        <v/>
      </c>
      <c r="C21" s="4">
        <f>C20/3</f>
        <v/>
      </c>
      <c r="D21" s="4">
        <f>D20/3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6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SENSITIVITY ANALYSIS</t>
        </is>
      </c>
    </row>
    <row r="2"/>
    <row r="3">
      <c r="A3" s="9" t="inlineStr">
        <is>
          <t>AI COST SENSITIVITY (Personal Tier Margin)</t>
        </is>
      </c>
    </row>
    <row r="4"/>
    <row r="5">
      <c r="A5" s="2" t="inlineStr">
        <is>
          <t>AI Ratio</t>
        </is>
      </c>
      <c r="B5" s="2" t="inlineStr">
        <is>
          <t>10%</t>
        </is>
      </c>
      <c r="C5" s="2" t="inlineStr">
        <is>
          <t>20%</t>
        </is>
      </c>
      <c r="D5" s="2" t="inlineStr">
        <is>
          <t>30%</t>
        </is>
      </c>
      <c r="E5" s="2" t="inlineStr">
        <is>
          <t>40%</t>
        </is>
      </c>
      <c r="F5" s="2" t="inlineStr">
        <is>
          <t>50%</t>
        </is>
      </c>
    </row>
    <row r="6">
      <c r="A6" s="3" t="inlineStr">
        <is>
          <t>Margin @ 25K ops</t>
        </is>
      </c>
      <c r="B6" s="4">
        <f>9-25000*0.1*'COGS Breakdown'!D9-25000*0.9*'COGS Breakdown'!E19</f>
        <v/>
      </c>
      <c r="C6" s="4">
        <f>9-25000*0.2*'COGS Breakdown'!D9-25000*0.8*'COGS Breakdown'!E19</f>
        <v/>
      </c>
      <c r="D6" s="4">
        <f>9-25000*0.3*'COGS Breakdown'!D9-25000*0.7*'COGS Breakdown'!E19</f>
        <v/>
      </c>
      <c r="E6" s="4">
        <f>9-25000*0.4*'COGS Breakdown'!D9-25000*0.6*'COGS Breakdown'!E19</f>
        <v/>
      </c>
      <c r="F6" s="4">
        <f>9-25000*0.5*'COGS Breakdown'!D9-25000*0.5*'COGS Breakdown'!E19</f>
        <v/>
      </c>
    </row>
    <row r="7">
      <c r="A7" s="3" t="inlineStr">
        <is>
          <t>Margin @ 50K ops</t>
        </is>
      </c>
      <c r="B7" s="4">
        <f>9-50000*0.1*'COGS Breakdown'!D9-50000*0.9*'COGS Breakdown'!E19</f>
        <v/>
      </c>
      <c r="C7" s="4">
        <f>9-50000*0.2*'COGS Breakdown'!D9-50000*0.8*'COGS Breakdown'!E19</f>
        <v/>
      </c>
      <c r="D7" s="4">
        <f>9-50000*0.3*'COGS Breakdown'!D9-50000*0.7*'COGS Breakdown'!E19</f>
        <v/>
      </c>
      <c r="E7" s="4">
        <f>9-50000*0.4*'COGS Breakdown'!D9-50000*0.6*'COGS Breakdown'!E19</f>
        <v/>
      </c>
      <c r="F7" s="4">
        <f>9-50000*0.5*'COGS Breakdown'!D9-50000*0.5*'COGS Breakdown'!E19</f>
        <v/>
      </c>
    </row>
    <row r="8"/>
    <row r="9"/>
    <row r="10">
      <c r="A10" s="9" t="inlineStr">
        <is>
          <t>PRICE SENSITIVITY (at 30% AI ratio, 25K ops)</t>
        </is>
      </c>
    </row>
    <row r="11"/>
    <row r="12">
      <c r="A12" s="2" t="inlineStr">
        <is>
          <t>Price Point</t>
        </is>
      </c>
      <c r="B12" s="2" t="inlineStr">
        <is>
          <t>COGS</t>
        </is>
      </c>
      <c r="C12" s="2" t="inlineStr">
        <is>
          <t>Margin</t>
        </is>
      </c>
      <c r="D12" s="2" t="inlineStr">
        <is>
          <t>Margin %</t>
        </is>
      </c>
    </row>
    <row r="13">
      <c r="A13" s="4" t="n">
        <v>5</v>
      </c>
      <c r="B13" s="4">
        <f>25000*0.3*'COGS Breakdown'!D9+25000*0.7*'COGS Breakdown'!E19+0.5</f>
        <v/>
      </c>
      <c r="C13" s="4">
        <f>A13-B13</f>
        <v/>
      </c>
      <c r="D13" s="8">
        <f>C13/A13</f>
        <v/>
      </c>
    </row>
    <row r="14">
      <c r="A14" s="4" t="n">
        <v>7</v>
      </c>
      <c r="B14" s="4">
        <f>25000*0.3*'COGS Breakdown'!D9+25000*0.7*'COGS Breakdown'!E19+0.5</f>
        <v/>
      </c>
      <c r="C14" s="4">
        <f>A14-B14</f>
        <v/>
      </c>
      <c r="D14" s="8">
        <f>C14/A14</f>
        <v/>
      </c>
    </row>
    <row r="15">
      <c r="A15" s="4" t="n">
        <v>9</v>
      </c>
      <c r="B15" s="4">
        <f>25000*0.3*'COGS Breakdown'!D9+25000*0.7*'COGS Breakdown'!E19+0.5</f>
        <v/>
      </c>
      <c r="C15" s="4">
        <f>A15-B15</f>
        <v/>
      </c>
      <c r="D15" s="8">
        <f>C15/A15</f>
        <v/>
      </c>
    </row>
    <row r="16">
      <c r="A16" s="4" t="n">
        <v>12</v>
      </c>
      <c r="B16" s="4">
        <f>25000*0.3*'COGS Breakdown'!D9+25000*0.7*'COGS Breakdown'!E19+0.5</f>
        <v/>
      </c>
      <c r="C16" s="4">
        <f>A16-B16</f>
        <v/>
      </c>
      <c r="D16" s="8">
        <f>C16/A16</f>
        <v/>
      </c>
    </row>
    <row r="17">
      <c r="A17" s="4" t="n">
        <v>15</v>
      </c>
      <c r="B17" s="4">
        <f>25000*0.3*'COGS Breakdown'!D9+25000*0.7*'COGS Breakdown'!E19+0.5</f>
        <v/>
      </c>
      <c r="C17" s="4">
        <f>A17-B17</f>
        <v/>
      </c>
      <c r="D17" s="8">
        <f>C17/A17</f>
        <v/>
      </c>
    </row>
    <row r="18">
      <c r="A18" s="4" t="n">
        <v>19</v>
      </c>
      <c r="B18" s="4">
        <f>25000*0.3*'COGS Breakdown'!D9+25000*0.7*'COGS Breakdown'!E19+0.5</f>
        <v/>
      </c>
      <c r="C18" s="4">
        <f>A18-B18</f>
        <v/>
      </c>
      <c r="D18" s="8">
        <f>C18/A18</f>
        <v/>
      </c>
    </row>
    <row r="19"/>
    <row r="20"/>
    <row r="21">
      <c r="A21" s="9" t="inlineStr">
        <is>
          <t>USAGE PATTERN SENSITIVITY</t>
        </is>
      </c>
    </row>
    <row r="22"/>
    <row r="23">
      <c r="A23" s="2" t="inlineStr">
        <is>
          <t>Scenario</t>
        </is>
      </c>
      <c r="B23" s="2" t="inlineStr">
        <is>
          <t>Ops Used</t>
        </is>
      </c>
      <c r="C23" s="2" t="inlineStr">
        <is>
          <t>% of Included</t>
        </is>
      </c>
      <c r="D23" s="2" t="inlineStr">
        <is>
          <t>Actual COGS</t>
        </is>
      </c>
      <c r="E23" s="2" t="inlineStr">
        <is>
          <t>Effective Margin</t>
        </is>
      </c>
    </row>
    <row r="24">
      <c r="A24" s="3" t="inlineStr">
        <is>
          <t>Light user</t>
        </is>
      </c>
      <c r="B24" s="10" t="n">
        <v>5000</v>
      </c>
      <c r="C24" s="8">
        <f>B24/25000</f>
        <v/>
      </c>
      <c r="D24" s="4">
        <f>B24*0.3*'COGS Breakdown'!D9</f>
        <v/>
      </c>
      <c r="E24" s="4">
        <f>9-D24</f>
        <v/>
      </c>
    </row>
    <row r="25">
      <c r="A25" s="3" t="inlineStr">
        <is>
          <t>Average user</t>
        </is>
      </c>
      <c r="B25" s="10" t="n">
        <v>15000</v>
      </c>
      <c r="C25" s="8">
        <f>B25/25000</f>
        <v/>
      </c>
      <c r="D25" s="4">
        <f>B25*0.3*'COGS Breakdown'!D9</f>
        <v/>
      </c>
      <c r="E25" s="4">
        <f>9-D25</f>
        <v/>
      </c>
    </row>
    <row r="26">
      <c r="A26" s="3" t="inlineStr">
        <is>
          <t>Heavy user</t>
        </is>
      </c>
      <c r="B26" s="10" t="n">
        <v>25000</v>
      </c>
      <c r="C26" s="8">
        <f>B26/25000</f>
        <v/>
      </c>
      <c r="D26" s="4">
        <f>B26*0.3*'COGS Breakdown'!D9</f>
        <v/>
      </c>
      <c r="E26" s="4">
        <f>9-D26</f>
        <v/>
      </c>
    </row>
    <row r="27">
      <c r="A27" s="3" t="inlineStr">
        <is>
          <t>Power user (overage)</t>
        </is>
      </c>
      <c r="B27" s="10" t="n">
        <v>50000</v>
      </c>
      <c r="C27" s="8">
        <f>B27/25000</f>
        <v/>
      </c>
      <c r="D27" s="4">
        <f>B27*0.3*'COGS Breakdown'!D9</f>
        <v/>
      </c>
      <c r="E27" s="4">
        <f>9+25000*0.2/1000-D27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0" customWidth="1" min="4" max="4"/>
    <col width="15" customWidth="1" min="5" max="5"/>
    <col width="38" customWidth="1" min="6" max="6"/>
    <col width="6" customWidth="1" min="7" max="7"/>
  </cols>
  <sheetData>
    <row r="1">
      <c r="A1" s="1" t="inlineStr">
        <is>
          <t>STRATEGIC RECOMMENDATIONS</t>
        </is>
      </c>
    </row>
    <row r="2"/>
    <row r="3">
      <c r="A3" s="9" t="inlineStr">
        <is>
          <t>EXECUTIVE SUMMARY</t>
        </is>
      </c>
    </row>
    <row r="4">
      <c r="A4" s="15" t="inlineStr">
        <is>
          <t>Current pricing is aggressive for market capture but requires careful management of AI costs and usage patterns to achieve profitability.</t>
        </is>
      </c>
    </row>
    <row r="5"/>
    <row r="6">
      <c r="A6" s="9" t="inlineStr">
        <is>
          <t>RECOMMENDED PRICING MODEL</t>
        </is>
      </c>
    </row>
    <row r="7"/>
    <row r="8">
      <c r="A8" s="2" t="inlineStr">
        <is>
          <t>Tier</t>
        </is>
      </c>
      <c r="B8" s="2" t="inlineStr">
        <is>
          <t>Price</t>
        </is>
      </c>
      <c r="C8" s="2" t="inlineStr">
        <is>
          <t>Ops</t>
        </is>
      </c>
      <c r="D8" s="2" t="inlineStr">
        <is>
          <t>AI Ratio</t>
        </is>
      </c>
      <c r="E8" s="2" t="inlineStr">
        <is>
          <t>Target Margin</t>
        </is>
      </c>
      <c r="F8" s="2" t="inlineStr">
        <is>
          <t>Rationale</t>
        </is>
      </c>
    </row>
    <row r="9">
      <c r="A9" s="3" t="inlineStr">
        <is>
          <t>Free</t>
        </is>
      </c>
      <c r="B9" s="3" t="inlineStr">
        <is>
          <t>$0</t>
        </is>
      </c>
      <c r="C9" s="3" t="inlineStr">
        <is>
          <t>5,000</t>
        </is>
      </c>
      <c r="D9" s="3" t="inlineStr">
        <is>
          <t>10%</t>
        </is>
      </c>
      <c r="E9" s="3" t="inlineStr">
        <is>
          <t>($1.50)</t>
        </is>
      </c>
      <c r="F9" s="3" t="inlineStr">
        <is>
          <t>Acquisition funnel</t>
        </is>
      </c>
    </row>
    <row r="10">
      <c r="A10" s="3" t="inlineStr">
        <is>
          <t>Personal</t>
        </is>
      </c>
      <c r="B10" s="3" t="inlineStr">
        <is>
          <t>$9</t>
        </is>
      </c>
      <c r="C10" s="3" t="inlineStr">
        <is>
          <t>25,000</t>
        </is>
      </c>
      <c r="D10" s="3" t="inlineStr">
        <is>
          <t>25%</t>
        </is>
      </c>
      <c r="E10" s="3" t="inlineStr">
        <is>
          <t>$3-5</t>
        </is>
      </c>
      <c r="F10" s="3" t="inlineStr">
        <is>
          <t>Value positioning vs $20 competitors</t>
        </is>
      </c>
    </row>
    <row r="11">
      <c r="A11" s="3" t="inlineStr">
        <is>
          <t>Family</t>
        </is>
      </c>
      <c r="B11" s="3" t="inlineStr">
        <is>
          <t>$19</t>
        </is>
      </c>
      <c r="C11" s="3" t="inlineStr">
        <is>
          <t>75,000</t>
        </is>
      </c>
      <c r="D11" s="3" t="inlineStr">
        <is>
          <t>30%</t>
        </is>
      </c>
      <c r="E11" s="3" t="inlineStr">
        <is>
          <t>$5-8</t>
        </is>
      </c>
      <c r="F11" s="3" t="inlineStr">
        <is>
          <t>Unique 6-member offering</t>
        </is>
      </c>
    </row>
    <row r="12">
      <c r="A12" s="3" t="inlineStr">
        <is>
          <t>Power</t>
        </is>
      </c>
      <c r="B12" s="3" t="inlineStr">
        <is>
          <t>$29+usage</t>
        </is>
      </c>
      <c r="C12" s="3" t="inlineStr">
        <is>
          <t>Unlimited</t>
        </is>
      </c>
      <c r="D12" s="3" t="inlineStr">
        <is>
          <t>Any</t>
        </is>
      </c>
      <c r="E12" s="3" t="inlineStr">
        <is>
          <t>$20+</t>
        </is>
      </c>
      <c r="F12" s="3" t="inlineStr">
        <is>
          <t>Pure margin play</t>
        </is>
      </c>
    </row>
    <row r="13"/>
    <row r="14"/>
    <row r="15">
      <c r="A15" s="9" t="inlineStr">
        <is>
          <t>KEY STRATEGIES</t>
        </is>
      </c>
    </row>
    <row r="16">
      <c r="A16" t="inlineStr">
        <is>
          <t>1. OPTIMIZE AI COSTS</t>
        </is>
      </c>
    </row>
    <row r="17">
      <c r="A17" t="inlineStr">
        <is>
          <t xml:space="preserve">   • Implement aggressive prompt caching (target 90%+ hit rate)</t>
        </is>
      </c>
    </row>
    <row r="18">
      <c r="A18" t="inlineStr">
        <is>
          <t xml:space="preserve">   • Use batch API for non-time-sensitive operations (50% discount)</t>
        </is>
      </c>
    </row>
    <row r="19">
      <c r="A19" t="inlineStr">
        <is>
          <t xml:space="preserve">   • Route lightweight queries to smaller/cheaper models</t>
        </is>
      </c>
    </row>
    <row r="20">
      <c r="A20" t="inlineStr"/>
    </row>
    <row r="21">
      <c r="A21" t="inlineStr">
        <is>
          <t>2. CONTROL OPERATION MIX</t>
        </is>
      </c>
    </row>
    <row r="22">
      <c r="A22" t="inlineStr">
        <is>
          <t xml:space="preserve">   • Smart home commands should NOT trigger AI (direct execution)</t>
        </is>
      </c>
    </row>
    <row r="23">
      <c r="A23" t="inlineStr">
        <is>
          <t xml:space="preserve">   • Reserve AI for conversational queries only</t>
        </is>
      </c>
    </row>
    <row r="24">
      <c r="A24" t="inlineStr">
        <is>
          <t xml:space="preserve">   • Target: 70-80% lightweight operations</t>
        </is>
      </c>
    </row>
    <row r="25">
      <c r="A25" t="inlineStr"/>
    </row>
    <row r="26">
      <c r="A26" t="inlineStr">
        <is>
          <t>3. MONETIZE POWER USERS</t>
        </is>
      </c>
    </row>
    <row r="27">
      <c r="A27" t="inlineStr">
        <is>
          <t xml:space="preserve">   • Power tier at $29 base + $0.10/1K ops is highly profitable</t>
        </is>
      </c>
    </row>
    <row r="28">
      <c r="A28" t="inlineStr">
        <is>
          <t xml:space="preserve">   • Encourage API access upsells</t>
        </is>
      </c>
    </row>
    <row r="29">
      <c r="A29" t="inlineStr">
        <is>
          <t xml:space="preserve">   • SLA guarantees justify premium pricing</t>
        </is>
      </c>
    </row>
    <row r="30">
      <c r="A30" t="inlineStr"/>
    </row>
    <row r="31">
      <c r="A31" t="inlineStr">
        <is>
          <t>4. FAMILY TIER DIFFERENTIATION</t>
        </is>
      </c>
    </row>
    <row r="32">
      <c r="A32" t="inlineStr">
        <is>
          <t xml:space="preserve">   • Only competitor with true 6-member household support</t>
        </is>
      </c>
    </row>
    <row r="33">
      <c r="A33" t="inlineStr">
        <is>
          <t xml:space="preserve">   • Parental controls are high-value feature</t>
        </is>
      </c>
    </row>
    <row r="34">
      <c r="A34" t="inlineStr">
        <is>
          <t xml:space="preserve">   • Per-member voice profiles reduce churn</t>
        </is>
      </c>
    </row>
    <row r="35">
      <c r="A35" t="inlineStr"/>
    </row>
    <row r="36">
      <c r="A36" t="inlineStr">
        <is>
          <t>5. GIFTING AS GROWTH ENGINE</t>
        </is>
      </c>
    </row>
    <row r="37">
      <c r="A37" t="inlineStr">
        <is>
          <t xml:space="preserve">   • Gift subscriptions at 10-17% discount drive trial</t>
        </is>
      </c>
    </row>
    <row r="38">
      <c r="A38" t="inlineStr">
        <is>
          <t xml:space="preserve">   • Holiday promotions can boost Q4 revenue</t>
        </is>
      </c>
    </row>
    <row r="39">
      <c r="A39" s="9" t="inlineStr">
        <is>
          <t>RISK FACTORS</t>
        </is>
      </c>
    </row>
    <row r="40">
      <c r="A40" t="inlineStr">
        <is>
          <t>• AI API cost increases from providers</t>
        </is>
      </c>
    </row>
    <row r="41">
      <c r="A41" t="inlineStr">
        <is>
          <t>• Higher-than-expected AI operation ratios</t>
        </is>
      </c>
    </row>
    <row r="42">
      <c r="A42" t="inlineStr">
        <is>
          <t>• Competitive price war (Google/Amazon can subsidize)</t>
        </is>
      </c>
    </row>
    <row r="43">
      <c r="A43" t="inlineStr">
        <is>
          <t>• User churn before reaching profitability</t>
        </is>
      </c>
    </row>
    <row r="44"/>
    <row r="45"/>
    <row r="46">
      <c r="A46" s="9" t="inlineStr">
        <is>
          <t>SUCCESS METRICS</t>
        </is>
      </c>
    </row>
    <row r="47"/>
    <row r="48">
      <c r="A48" s="2" t="inlineStr">
        <is>
          <t>Metric</t>
        </is>
      </c>
      <c r="B48" s="2" t="inlineStr">
        <is>
          <t>Target</t>
        </is>
      </c>
      <c r="C48" s="2" t="inlineStr">
        <is>
          <t>Timeline</t>
        </is>
      </c>
    </row>
    <row r="49">
      <c r="A49" s="3" t="inlineStr">
        <is>
          <t>Blended COGS per 1K ops</t>
        </is>
      </c>
      <c r="B49" s="3" t="inlineStr">
        <is>
          <t>&lt; $1.50</t>
        </is>
      </c>
      <c r="C49" s="3" t="inlineStr">
        <is>
          <t>Q2 2026</t>
        </is>
      </c>
    </row>
    <row r="50">
      <c r="A50" s="3" t="inlineStr">
        <is>
          <t>AI operation ratio</t>
        </is>
      </c>
      <c r="B50" s="3" t="inlineStr">
        <is>
          <t>&lt; 30%</t>
        </is>
      </c>
      <c r="C50" s="3" t="inlineStr">
        <is>
          <t>Q1 2026</t>
        </is>
      </c>
    </row>
    <row r="51">
      <c r="A51" s="3" t="inlineStr">
        <is>
          <t>Prompt cache hit rate</t>
        </is>
      </c>
      <c r="B51" s="3" t="inlineStr">
        <is>
          <t>&gt; 90%</t>
        </is>
      </c>
      <c r="C51" s="3" t="inlineStr">
        <is>
          <t>Q1 2026</t>
        </is>
      </c>
    </row>
    <row r="52">
      <c r="A52" s="3" t="inlineStr">
        <is>
          <t>Personal tier margin</t>
        </is>
      </c>
      <c r="B52" s="3" t="inlineStr">
        <is>
          <t>&gt; $3/user/mo</t>
        </is>
      </c>
      <c r="C52" s="3" t="inlineStr">
        <is>
          <t>Q3 2026</t>
        </is>
      </c>
    </row>
    <row r="53">
      <c r="A53" s="3" t="inlineStr">
        <is>
          <t>Monthly churn</t>
        </is>
      </c>
      <c r="B53" s="3" t="inlineStr">
        <is>
          <t>&lt; 5%</t>
        </is>
      </c>
      <c r="C53" s="3" t="inlineStr">
        <is>
          <t>Q2 2026</t>
        </is>
      </c>
    </row>
    <row r="54">
      <c r="A54" s="3" t="inlineStr">
        <is>
          <t>Power tier conversion</t>
        </is>
      </c>
      <c r="B54" s="3" t="inlineStr">
        <is>
          <t>&gt; 5% of paid</t>
        </is>
      </c>
      <c r="C54" s="3" t="inlineStr">
        <is>
          <t>Q4 2026</t>
        </is>
      </c>
    </row>
  </sheetData>
  <mergeCells count="1"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2026-01-13T01:38:32Z</dcterms:created>
  <dcterms:modified xmlns:dcterms="http://purl.org/dc/terms/" xmlns:xsi="http://www.w3.org/2001/XMLSchema-instance" xsi:type="dcterms:W3CDTF">2026-01-13T01:38:32Z</dcterms:modified>
</cp:coreProperties>
</file>